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yler\Downloads\"/>
    </mc:Choice>
  </mc:AlternateContent>
  <xr:revisionPtr revIDLastSave="0" documentId="13_ncr:1_{EFD71035-F3CF-4EDB-8578-8614215AFA9F}" xr6:coauthVersionLast="47" xr6:coauthVersionMax="47" xr10:uidLastSave="{00000000-0000-0000-0000-000000000000}"/>
  <bookViews>
    <workbookView xWindow="28680" yWindow="-120" windowWidth="29040" windowHeight="15990" tabRatio="862" xr2:uid="{00000000-000D-0000-FFFF-FFFF00000000}"/>
  </bookViews>
  <sheets>
    <sheet name="Nurse Grid Dashboard" sheetId="2" r:id="rId1"/>
    <sheet name="License" sheetId="17" r:id="rId2"/>
    <sheet name="PTC_License" sheetId="19" r:id="rId3"/>
    <sheet name="ALCS" sheetId="20" r:id="rId4"/>
    <sheet name="PALS" sheetId="22" r:id="rId5"/>
    <sheet name="BLS" sheetId="23" r:id="rId6"/>
    <sheet name="PCT_BLS" sheetId="24" r:id="rId7"/>
    <sheet name="CardiacSurvTech_BLS" sheetId="25" r:id="rId8"/>
    <sheet name="NIHSS" sheetId="26" r:id="rId9"/>
    <sheet name="Peritoneal_Dialysis" sheetId="27" r:id="rId10"/>
    <sheet name="IO" sheetId="28" r:id="rId11"/>
    <sheet name="NCI" sheetId="29" r:id="rId12"/>
    <sheet name="PCT_NCI" sheetId="30" r:id="rId13"/>
    <sheet name="UnitSecretary_NCI" sheetId="31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7" i="31" l="1"/>
  <c r="C56" i="31"/>
  <c r="C55" i="31"/>
  <c r="C54" i="31"/>
  <c r="C53" i="31"/>
  <c r="C52" i="31"/>
  <c r="C51" i="31"/>
  <c r="C50" i="31"/>
  <c r="C49" i="31"/>
  <c r="C48" i="31"/>
  <c r="C47" i="31"/>
  <c r="C46" i="31"/>
  <c r="C45" i="31"/>
  <c r="C44" i="31"/>
  <c r="C43" i="31"/>
  <c r="C42" i="31"/>
  <c r="C41" i="31"/>
  <c r="C40" i="31"/>
  <c r="C39" i="31"/>
  <c r="C38" i="31"/>
  <c r="C37" i="31"/>
  <c r="C36" i="31"/>
  <c r="C35" i="31"/>
  <c r="C34" i="31"/>
  <c r="C33" i="31"/>
  <c r="C32" i="31"/>
  <c r="C31" i="31"/>
  <c r="C30" i="31"/>
  <c r="C29" i="31"/>
  <c r="C28" i="31"/>
  <c r="C27" i="31"/>
  <c r="C26" i="31"/>
  <c r="C25" i="31"/>
  <c r="C24" i="31"/>
  <c r="C23" i="31"/>
  <c r="C22" i="31"/>
  <c r="C21" i="31"/>
  <c r="C20" i="31"/>
  <c r="C19" i="31"/>
  <c r="C18" i="31"/>
  <c r="C17" i="31"/>
  <c r="C16" i="31"/>
  <c r="C15" i="31"/>
  <c r="C14" i="31"/>
  <c r="C13" i="31"/>
  <c r="C12" i="31"/>
  <c r="C11" i="31"/>
  <c r="C10" i="31"/>
  <c r="C9" i="31"/>
  <c r="C57" i="30"/>
  <c r="C56" i="30"/>
  <c r="C55" i="30"/>
  <c r="C54" i="30"/>
  <c r="C53" i="30"/>
  <c r="C52" i="30"/>
  <c r="C51" i="30"/>
  <c r="C50" i="30"/>
  <c r="C49" i="30"/>
  <c r="C48" i="30"/>
  <c r="C47" i="30"/>
  <c r="C46" i="30"/>
  <c r="C45" i="30"/>
  <c r="C44" i="30"/>
  <c r="C43" i="30"/>
  <c r="C42" i="30"/>
  <c r="C41" i="30"/>
  <c r="C40" i="30"/>
  <c r="C39" i="30"/>
  <c r="C38" i="30"/>
  <c r="C37" i="30"/>
  <c r="C36" i="30"/>
  <c r="C35" i="30"/>
  <c r="C34" i="30"/>
  <c r="C25" i="30"/>
  <c r="C57" i="29"/>
  <c r="C56" i="29"/>
  <c r="C55" i="29"/>
  <c r="C54" i="29"/>
  <c r="C53" i="29"/>
  <c r="C52" i="29"/>
  <c r="C51" i="29"/>
  <c r="C50" i="29"/>
  <c r="C49" i="29"/>
  <c r="C48" i="29"/>
  <c r="C47" i="29"/>
  <c r="C46" i="29"/>
  <c r="C45" i="29"/>
  <c r="C44" i="29"/>
  <c r="C43" i="29"/>
  <c r="C42" i="29"/>
  <c r="C41" i="29"/>
  <c r="C40" i="29"/>
  <c r="C39" i="29"/>
  <c r="C38" i="29"/>
  <c r="C37" i="29"/>
  <c r="C36" i="29"/>
  <c r="C35" i="29"/>
  <c r="C57" i="28"/>
  <c r="C56" i="28"/>
  <c r="C55" i="28"/>
  <c r="C54" i="28"/>
  <c r="C53" i="28"/>
  <c r="C52" i="28"/>
  <c r="C51" i="28"/>
  <c r="C50" i="28"/>
  <c r="C49" i="28"/>
  <c r="C48" i="28"/>
  <c r="C47" i="28"/>
  <c r="C46" i="28"/>
  <c r="C45" i="28"/>
  <c r="C44" i="28"/>
  <c r="C43" i="28"/>
  <c r="C42" i="28"/>
  <c r="C41" i="28"/>
  <c r="C40" i="28"/>
  <c r="C39" i="28"/>
  <c r="C38" i="28"/>
  <c r="C37" i="28"/>
  <c r="C36" i="28"/>
  <c r="C35" i="28"/>
  <c r="C57" i="27"/>
  <c r="C56" i="27"/>
  <c r="C55" i="27"/>
  <c r="C54" i="27"/>
  <c r="C53" i="27"/>
  <c r="C52" i="27"/>
  <c r="C51" i="27"/>
  <c r="C50" i="27"/>
  <c r="C49" i="27"/>
  <c r="C48" i="27"/>
  <c r="C47" i="27"/>
  <c r="C46" i="27"/>
  <c r="C45" i="27"/>
  <c r="C44" i="27"/>
  <c r="C43" i="27"/>
  <c r="C42" i="27"/>
  <c r="C41" i="27"/>
  <c r="C40" i="27"/>
  <c r="C39" i="27"/>
  <c r="C57" i="26"/>
  <c r="C56" i="26"/>
  <c r="C55" i="26"/>
  <c r="C54" i="26"/>
  <c r="C53" i="26"/>
  <c r="C52" i="26"/>
  <c r="C51" i="26"/>
  <c r="C50" i="26"/>
  <c r="C49" i="26"/>
  <c r="C48" i="26"/>
  <c r="C47" i="26"/>
  <c r="C46" i="26"/>
  <c r="C45" i="26"/>
  <c r="C44" i="26"/>
  <c r="C43" i="26"/>
  <c r="C42" i="26"/>
  <c r="C41" i="26"/>
  <c r="C40" i="26"/>
  <c r="C39" i="26"/>
  <c r="C38" i="26"/>
  <c r="C37" i="26"/>
  <c r="C36" i="26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B2" i="2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57" i="20"/>
  <c r="C56" i="20"/>
  <c r="C55" i="20"/>
  <c r="C54" i="20"/>
  <c r="C53" i="20"/>
  <c r="C52" i="20"/>
  <c r="C51" i="20"/>
  <c r="C50" i="20"/>
  <c r="C49" i="20"/>
  <c r="C48" i="20"/>
  <c r="C47" i="20"/>
  <c r="C46" i="20"/>
  <c r="C45" i="20"/>
  <c r="C44" i="20"/>
  <c r="C43" i="20"/>
  <c r="C42" i="20"/>
  <c r="C41" i="20"/>
  <c r="C40" i="20"/>
  <c r="C39" i="20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7" i="19"/>
  <c r="C5" i="19"/>
  <c r="C4" i="19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3" i="31" l="1"/>
  <c r="C4" i="31"/>
  <c r="C5" i="31"/>
  <c r="C6" i="31"/>
  <c r="C7" i="31"/>
  <c r="C8" i="31"/>
  <c r="C22" i="30"/>
  <c r="C23" i="30"/>
  <c r="C24" i="30"/>
  <c r="C3" i="30"/>
  <c r="C27" i="30"/>
  <c r="C26" i="30"/>
  <c r="C28" i="30"/>
  <c r="C29" i="30"/>
  <c r="C30" i="30"/>
  <c r="C31" i="30"/>
  <c r="C20" i="30"/>
  <c r="C32" i="30"/>
  <c r="C21" i="30"/>
  <c r="C33" i="30"/>
  <c r="C3" i="29"/>
  <c r="C3" i="28"/>
  <c r="C3" i="27"/>
  <c r="C3" i="26"/>
  <c r="C3" i="25"/>
  <c r="C22" i="24"/>
  <c r="C3" i="24"/>
  <c r="C4" i="17"/>
  <c r="C3" i="19"/>
  <c r="C6" i="19"/>
  <c r="C8" i="19"/>
  <c r="C18" i="24"/>
  <c r="C3" i="22"/>
  <c r="C3" i="20"/>
  <c r="C24" i="24"/>
  <c r="C23" i="24"/>
  <c r="C25" i="24"/>
  <c r="C26" i="24"/>
  <c r="C27" i="24"/>
  <c r="C28" i="24"/>
  <c r="C3" i="23"/>
  <c r="C29" i="24"/>
  <c r="C30" i="24"/>
  <c r="C19" i="24"/>
  <c r="C31" i="24"/>
  <c r="C32" i="24"/>
  <c r="C20" i="24"/>
  <c r="C21" i="24"/>
  <c r="C33" i="24"/>
  <c r="C26" i="17"/>
  <c r="C13" i="17"/>
  <c r="C27" i="17"/>
  <c r="C14" i="17"/>
  <c r="C11" i="17"/>
  <c r="C22" i="17"/>
  <c r="C10" i="17"/>
  <c r="C15" i="17"/>
  <c r="C12" i="17"/>
  <c r="C33" i="17"/>
  <c r="C21" i="17"/>
  <c r="C9" i="17"/>
  <c r="C32" i="17"/>
  <c r="C20" i="17"/>
  <c r="C8" i="17"/>
  <c r="C25" i="17"/>
  <c r="C31" i="17"/>
  <c r="C19" i="17"/>
  <c r="C7" i="17"/>
  <c r="C23" i="17"/>
  <c r="C30" i="17"/>
  <c r="C18" i="17"/>
  <c r="C6" i="17"/>
  <c r="C24" i="17"/>
  <c r="C29" i="17"/>
  <c r="C17" i="17"/>
  <c r="C5" i="17"/>
  <c r="C28" i="17"/>
  <c r="C16" i="17"/>
  <c r="C3" i="17"/>
  <c r="K3" i="31" l="1"/>
  <c r="M12" i="2" s="1"/>
  <c r="J3" i="31"/>
  <c r="M13" i="2" s="1"/>
  <c r="L3" i="31"/>
  <c r="L3" i="30"/>
  <c r="K3" i="30"/>
  <c r="E24" i="2" s="1"/>
  <c r="J3" i="30"/>
  <c r="E25" i="2" s="1"/>
  <c r="L3" i="29"/>
  <c r="J3" i="29"/>
  <c r="I13" i="2" s="1"/>
  <c r="K3" i="29"/>
  <c r="I12" i="2" s="1"/>
  <c r="L3" i="28"/>
  <c r="K3" i="28"/>
  <c r="E12" i="2" s="1"/>
  <c r="J3" i="28"/>
  <c r="E13" i="2" s="1"/>
  <c r="K3" i="27"/>
  <c r="E17" i="2" s="1"/>
  <c r="J3" i="27"/>
  <c r="E18" i="2" s="1"/>
  <c r="L3" i="27"/>
  <c r="J3" i="26"/>
  <c r="A18" i="2" s="1"/>
  <c r="K3" i="26"/>
  <c r="A17" i="2" s="1"/>
  <c r="L3" i="26"/>
  <c r="K3" i="25"/>
  <c r="I24" i="2" s="1"/>
  <c r="L3" i="25"/>
  <c r="J3" i="25"/>
  <c r="I25" i="2" s="1"/>
  <c r="K3" i="19"/>
  <c r="A25" i="2" s="1"/>
  <c r="J3" i="19"/>
  <c r="L3" i="19"/>
  <c r="J3" i="22"/>
  <c r="I8" i="2" s="1"/>
  <c r="K3" i="22"/>
  <c r="I7" i="2" s="1"/>
  <c r="L3" i="22"/>
  <c r="J3" i="23"/>
  <c r="A13" i="2" s="1"/>
  <c r="L3" i="23"/>
  <c r="K3" i="23"/>
  <c r="A12" i="2" s="1"/>
  <c r="L3" i="20"/>
  <c r="K3" i="20"/>
  <c r="E7" i="2" s="1"/>
  <c r="L3" i="24"/>
  <c r="J3" i="20"/>
  <c r="E8" i="2" s="1"/>
  <c r="K3" i="24"/>
  <c r="J3" i="24"/>
  <c r="L3" i="17"/>
  <c r="A7" i="2" s="1"/>
  <c r="J3" i="17"/>
  <c r="K3" i="17"/>
  <c r="A24" i="2" l="1"/>
  <c r="A8" i="2"/>
</calcChain>
</file>

<file path=xl/sharedStrings.xml><?xml version="1.0" encoding="utf-8"?>
<sst xmlns="http://schemas.openxmlformats.org/spreadsheetml/2006/main" count="482" uniqueCount="52">
  <si>
    <t>exp. Date</t>
  </si>
  <si>
    <t>ALCS</t>
  </si>
  <si>
    <t>PALS</t>
  </si>
  <si>
    <t>BLS</t>
  </si>
  <si>
    <t>Name</t>
  </si>
  <si>
    <t>status</t>
  </si>
  <si>
    <t>NIHSS</t>
  </si>
  <si>
    <t>Peritoneal Dialysis</t>
  </si>
  <si>
    <t>NCI</t>
  </si>
  <si>
    <t>IO</t>
  </si>
  <si>
    <t>License</t>
  </si>
  <si>
    <t>RNs</t>
  </si>
  <si>
    <t>PCTs</t>
  </si>
  <si>
    <t>Registered Nurses</t>
  </si>
  <si>
    <t>Unit Secretary</t>
  </si>
  <si>
    <t>Cardiac Surveillance Techs</t>
  </si>
  <si>
    <t>ICU Certification Tracker</t>
  </si>
  <si>
    <t>Date:</t>
  </si>
  <si>
    <t>Dashboard</t>
  </si>
  <si>
    <t>LICENSE</t>
  </si>
  <si>
    <t>Expired</t>
  </si>
  <si>
    <t>Expires &lt; 90 days</t>
  </si>
  <si>
    <t>Email Sent</t>
  </si>
  <si>
    <t>90 days</t>
  </si>
  <si>
    <t>60 days</t>
  </si>
  <si>
    <t>30 days</t>
  </si>
  <si>
    <t>Total</t>
  </si>
  <si>
    <t>GOOD STANDING</t>
  </si>
  <si>
    <t>EXPIRES SOON</t>
  </si>
  <si>
    <t>EXPIRED</t>
  </si>
  <si>
    <t>Email Settings</t>
  </si>
  <si>
    <t>CC</t>
  </si>
  <si>
    <t>BCC</t>
  </si>
  <si>
    <t>Email Address</t>
  </si>
  <si>
    <t>example@gmail.com</t>
  </si>
  <si>
    <t>90 day Subject</t>
  </si>
  <si>
    <t>60 day Subject</t>
  </si>
  <si>
    <t>90 day Message</t>
  </si>
  <si>
    <t>60 day Message</t>
  </si>
  <si>
    <t>30 day subject</t>
  </si>
  <si>
    <t>sample subject for 90 days left</t>
  </si>
  <si>
    <t>sample subject for 60 days left</t>
  </si>
  <si>
    <t>sample subject for 30 days left</t>
  </si>
  <si>
    <t>example message for 90 days left</t>
  </si>
  <si>
    <t>example message for 60 days left</t>
  </si>
  <si>
    <t>example message for 30 days left</t>
  </si>
  <si>
    <t>30 day Message</t>
  </si>
  <si>
    <t>Cardiac SurvTech</t>
  </si>
  <si>
    <t>Class Date</t>
  </si>
  <si>
    <t>Wednesday, December 20, 2023</t>
  </si>
  <si>
    <t>sent</t>
  </si>
  <si>
    <t>Hudson, Tyler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</si>
</sst>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gray125">
        <bgColor rgb="FFCCECFF"/>
      </patternFill>
    </fill>
    <fill>
      <patternFill patternType="gray125">
        <bgColor rgb="FF99FF99"/>
      </patternFill>
    </fill>
    <fill>
      <patternFill patternType="gray125">
        <bgColor theme="6" tint="0.59999389629810485"/>
      </patternFill>
    </fill>
    <fill>
      <patternFill patternType="gray125">
        <bgColor rgb="FFFFC000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rgb="FF000000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0" fillId="14" borderId="0" applyNumberFormat="0" applyBorder="0" applyAlignment="0" applyProtection="0"/>
    <xf numFmtId="0" fontId="9" fillId="15" borderId="0" applyNumberFormat="0" applyBorder="0" applyAlignment="0" applyProtection="0"/>
    <xf numFmtId="0" fontId="11" fillId="16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169">
    <xf numFmtId="0" fontId="0" fillId="0" borderId="0" xfId="0"/>
    <xf numFmtId="0" fontId="0" fillId="2" borderId="12" xfId="0" applyFill="1" applyBorder="1"/>
    <xf numFmtId="0" fontId="0" fillId="2" borderId="0" xfId="0" applyFill="1"/>
    <xf numFmtId="0" fontId="0" fillId="2" borderId="13" xfId="0" applyFill="1" applyBorder="1"/>
    <xf numFmtId="0" fontId="1" fillId="2" borderId="0" xfId="0" applyFont="1" applyFill="1"/>
    <xf numFmtId="0" fontId="1" fillId="2" borderId="4" xfId="0" applyFont="1" applyFill="1" applyBorder="1"/>
    <xf numFmtId="0" fontId="1" fillId="2" borderId="13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17" xfId="0" applyFont="1" applyFill="1" applyBorder="1"/>
    <xf numFmtId="0" fontId="1" fillId="2" borderId="12" xfId="0" applyFont="1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1" fillId="3" borderId="0" xfId="0" applyFont="1" applyFill="1"/>
    <xf numFmtId="0" fontId="1" fillId="3" borderId="13" xfId="0" applyFont="1" applyFill="1" applyBorder="1"/>
    <xf numFmtId="0" fontId="1" fillId="3" borderId="5" xfId="0" applyFont="1" applyFill="1" applyBorder="1"/>
    <xf numFmtId="0" fontId="1" fillId="3" borderId="17" xfId="0" applyFont="1" applyFill="1" applyBorder="1"/>
    <xf numFmtId="0" fontId="1" fillId="3" borderId="12" xfId="0" applyFont="1" applyFill="1" applyBorder="1"/>
    <xf numFmtId="0" fontId="0" fillId="5" borderId="12" xfId="0" applyFill="1" applyBorder="1"/>
    <xf numFmtId="0" fontId="0" fillId="5" borderId="0" xfId="0" applyFill="1"/>
    <xf numFmtId="0" fontId="0" fillId="5" borderId="13" xfId="0" applyFill="1" applyBorder="1"/>
    <xf numFmtId="0" fontId="1" fillId="5" borderId="0" xfId="0" applyFont="1" applyFill="1"/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" fillId="5" borderId="12" xfId="0" applyFont="1" applyFill="1" applyBorder="1"/>
    <xf numFmtId="0" fontId="6" fillId="6" borderId="9" xfId="0" applyFont="1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0" xfId="0" applyFill="1"/>
    <xf numFmtId="0" fontId="0" fillId="6" borderId="13" xfId="0" applyFill="1" applyBorder="1"/>
    <xf numFmtId="0" fontId="1" fillId="6" borderId="0" xfId="0" applyFont="1" applyFill="1"/>
    <xf numFmtId="0" fontId="1" fillId="6" borderId="4" xfId="0" applyFont="1" applyFill="1" applyBorder="1"/>
    <xf numFmtId="0" fontId="1" fillId="6" borderId="13" xfId="0" applyFont="1" applyFill="1" applyBorder="1"/>
    <xf numFmtId="0" fontId="1" fillId="6" borderId="5" xfId="0" applyFont="1" applyFill="1" applyBorder="1"/>
    <xf numFmtId="0" fontId="1" fillId="6" borderId="6" xfId="0" applyFont="1" applyFill="1" applyBorder="1"/>
    <xf numFmtId="0" fontId="1" fillId="6" borderId="17" xfId="0" applyFont="1" applyFill="1" applyBorder="1"/>
    <xf numFmtId="0" fontId="1" fillId="6" borderId="12" xfId="0" applyFont="1" applyFill="1" applyBorder="1"/>
    <xf numFmtId="0" fontId="6" fillId="2" borderId="12" xfId="0" applyFont="1" applyFill="1" applyBorder="1"/>
    <xf numFmtId="0" fontId="5" fillId="2" borderId="0" xfId="0" applyFont="1" applyFill="1"/>
    <xf numFmtId="0" fontId="1" fillId="11" borderId="16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14" fontId="0" fillId="12" borderId="0" xfId="0" applyNumberFormat="1" applyFill="1" applyAlignment="1">
      <alignment horizontal="center"/>
    </xf>
    <xf numFmtId="0" fontId="0" fillId="12" borderId="0" xfId="0" applyFill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8" xfId="0" applyFill="1" applyBorder="1"/>
    <xf numFmtId="0" fontId="0" fillId="12" borderId="19" xfId="0" applyFill="1" applyBorder="1"/>
    <xf numFmtId="0" fontId="0" fillId="12" borderId="20" xfId="0" applyFill="1" applyBorder="1"/>
    <xf numFmtId="0" fontId="0" fillId="12" borderId="0" xfId="0" applyFill="1"/>
    <xf numFmtId="0" fontId="1" fillId="12" borderId="0" xfId="0" applyFont="1" applyFill="1"/>
    <xf numFmtId="0" fontId="0" fillId="0" borderId="0" xfId="0" applyAlignment="1">
      <alignment horizontal="center"/>
    </xf>
    <xf numFmtId="14" fontId="0" fillId="13" borderId="3" xfId="0" applyNumberFormat="1" applyFill="1" applyBorder="1" applyAlignment="1">
      <alignment horizontal="center"/>
    </xf>
    <xf numFmtId="0" fontId="0" fillId="13" borderId="3" xfId="0" quotePrefix="1" applyFill="1" applyBorder="1" applyAlignment="1">
      <alignment horizontal="center"/>
    </xf>
    <xf numFmtId="0" fontId="0" fillId="13" borderId="22" xfId="0" quotePrefix="1" applyFill="1" applyBorder="1" applyAlignment="1">
      <alignment horizontal="center"/>
    </xf>
    <xf numFmtId="0" fontId="0" fillId="0" borderId="0" xfId="0" quotePrefix="1" applyAlignment="1">
      <alignment vertical="top" wrapText="1"/>
    </xf>
    <xf numFmtId="0" fontId="0" fillId="0" borderId="0" xfId="0" quotePrefix="1" applyAlignment="1">
      <alignment vertical="center" wrapText="1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0" fillId="0" borderId="0" xfId="0" quotePrefix="1" applyAlignment="1">
      <alignment horizontal="center" vertical="top" wrapText="1"/>
    </xf>
    <xf numFmtId="0" fontId="0" fillId="0" borderId="0" xfId="0" quotePrefix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9" fillId="15" borderId="22" xfId="2" applyNumberFormat="1" applyBorder="1" applyAlignment="1">
      <alignment horizontal="center"/>
    </xf>
    <xf numFmtId="0" fontId="0" fillId="13" borderId="30" xfId="0" applyFill="1" applyBorder="1" applyAlignment="1">
      <alignment horizontal="center"/>
    </xf>
    <xf numFmtId="0" fontId="3" fillId="13" borderId="31" xfId="0" applyFont="1" applyFill="1" applyBorder="1"/>
    <xf numFmtId="0" fontId="3" fillId="13" borderId="32" xfId="0" applyFont="1" applyFill="1" applyBorder="1"/>
    <xf numFmtId="14" fontId="0" fillId="13" borderId="25" xfId="0" applyNumberFormat="1" applyFill="1" applyBorder="1" applyAlignment="1">
      <alignment horizontal="center"/>
    </xf>
    <xf numFmtId="0" fontId="0" fillId="13" borderId="25" xfId="0" quotePrefix="1" applyFill="1" applyBorder="1" applyAlignment="1">
      <alignment horizontal="center"/>
    </xf>
    <xf numFmtId="0" fontId="0" fillId="13" borderId="26" xfId="0" applyFill="1" applyBorder="1" applyAlignment="1">
      <alignment horizontal="center"/>
    </xf>
    <xf numFmtId="0" fontId="0" fillId="13" borderId="27" xfId="0" applyFill="1" applyBorder="1" applyAlignment="1">
      <alignment horizontal="center"/>
    </xf>
    <xf numFmtId="0" fontId="0" fillId="13" borderId="24" xfId="0" quotePrefix="1" applyFill="1" applyBorder="1" applyAlignment="1">
      <alignment horizontal="center" vertical="center" wrapText="1"/>
    </xf>
    <xf numFmtId="14" fontId="9" fillId="15" borderId="25" xfId="2" applyNumberFormat="1" applyBorder="1" applyAlignment="1">
      <alignment horizontal="center"/>
    </xf>
    <xf numFmtId="0" fontId="12" fillId="13" borderId="30" xfId="4" applyFill="1" applyBorder="1" applyAlignment="1">
      <alignment horizontal="left"/>
    </xf>
    <xf numFmtId="0" fontId="12" fillId="13" borderId="35" xfId="4" applyFill="1" applyBorder="1" applyAlignment="1">
      <alignment horizontal="left"/>
    </xf>
    <xf numFmtId="0" fontId="8" fillId="0" borderId="12" xfId="0" applyFont="1" applyBorder="1"/>
    <xf numFmtId="0" fontId="0" fillId="13" borderId="32" xfId="0" applyFill="1" applyBorder="1"/>
    <xf numFmtId="0" fontId="0" fillId="13" borderId="27" xfId="0" applyFill="1" applyBorder="1"/>
    <xf numFmtId="0" fontId="8" fillId="17" borderId="36" xfId="3" applyFont="1" applyFill="1" applyBorder="1"/>
    <xf numFmtId="0" fontId="8" fillId="17" borderId="17" xfId="0" applyFont="1" applyFill="1" applyBorder="1"/>
    <xf numFmtId="0" fontId="0" fillId="13" borderId="33" xfId="0" applyFill="1" applyBorder="1"/>
    <xf numFmtId="0" fontId="8" fillId="17" borderId="5" xfId="1" applyFont="1" applyFill="1" applyBorder="1"/>
    <xf numFmtId="0" fontId="8" fillId="0" borderId="12" xfId="0" quotePrefix="1" applyFont="1" applyBorder="1" applyAlignment="1">
      <alignment vertical="top" wrapText="1"/>
    </xf>
    <xf numFmtId="0" fontId="8" fillId="0" borderId="18" xfId="0" quotePrefix="1" applyFont="1" applyBorder="1" applyAlignment="1">
      <alignment vertical="top" wrapText="1"/>
    </xf>
    <xf numFmtId="0" fontId="13" fillId="18" borderId="22" xfId="0" applyFont="1" applyFill="1" applyBorder="1"/>
    <xf numFmtId="0" fontId="13" fillId="18" borderId="3" xfId="0" applyFont="1" applyFill="1" applyBorder="1"/>
    <xf numFmtId="14" fontId="14" fillId="18" borderId="22" xfId="0" applyNumberFormat="1" applyFont="1" applyFill="1" applyBorder="1" applyAlignment="1">
      <alignment horizontal="center"/>
    </xf>
    <xf numFmtId="14" fontId="14" fillId="18" borderId="3" xfId="0" applyNumberFormat="1" applyFont="1" applyFill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9" fillId="15" borderId="3" xfId="2" applyBorder="1"/>
    <xf numFmtId="0" fontId="14" fillId="18" borderId="3" xfId="0" applyFont="1" applyFill="1" applyBorder="1" applyAlignment="1">
      <alignment horizontal="center"/>
    </xf>
    <xf numFmtId="0" fontId="12" fillId="18" borderId="24" xfId="4" applyFill="1" applyBorder="1" applyAlignment="1">
      <alignment vertical="center"/>
    </xf>
    <xf numFmtId="0" fontId="12" fillId="18" borderId="24" xfId="4" applyFill="1" applyBorder="1"/>
    <xf numFmtId="0" fontId="12" fillId="18" borderId="23" xfId="4" applyFill="1" applyBorder="1" applyAlignment="1">
      <alignment vertical="center"/>
    </xf>
    <xf numFmtId="0" fontId="2" fillId="0" borderId="11" xfId="0" applyFont="1" applyBorder="1" applyAlignment="1">
      <alignment horizontal="center"/>
    </xf>
    <xf numFmtId="0" fontId="15" fillId="0" borderId="9" xfId="0" applyFont="1" applyBorder="1" applyAlignment="1">
      <alignment horizontal="center" vertical="center"/>
    </xf>
    <xf numFmtId="0" fontId="14" fillId="18" borderId="31" xfId="0" applyFont="1" applyFill="1" applyBorder="1"/>
    <xf numFmtId="0" fontId="12" fillId="18" borderId="35" xfId="4" applyFill="1" applyBorder="1" applyAlignment="1">
      <alignment vertical="center"/>
    </xf>
    <xf numFmtId="0" fontId="12" fillId="18" borderId="30" xfId="4" applyFill="1" applyBorder="1" applyAlignment="1">
      <alignment vertical="center"/>
    </xf>
    <xf numFmtId="0" fontId="14" fillId="18" borderId="16" xfId="0" applyFont="1" applyFill="1" applyBorder="1"/>
    <xf numFmtId="0" fontId="13" fillId="18" borderId="31" xfId="0" applyFont="1" applyFill="1" applyBorder="1"/>
    <xf numFmtId="0" fontId="12" fillId="18" borderId="30" xfId="4" applyFill="1" applyBorder="1"/>
    <xf numFmtId="0" fontId="13" fillId="18" borderId="16" xfId="0" applyFont="1" applyFill="1" applyBorder="1"/>
    <xf numFmtId="0" fontId="14" fillId="18" borderId="22" xfId="0" applyFont="1" applyFill="1" applyBorder="1" applyAlignment="1">
      <alignment horizontal="center"/>
    </xf>
    <xf numFmtId="0" fontId="14" fillId="18" borderId="22" xfId="0" applyFont="1" applyFill="1" applyBorder="1" applyAlignment="1">
      <alignment horizontal="left" vertical="top"/>
    </xf>
    <xf numFmtId="0" fontId="14" fillId="18" borderId="3" xfId="0" applyFont="1" applyFill="1" applyBorder="1" applyAlignment="1">
      <alignment horizontal="left" vertical="top"/>
    </xf>
    <xf numFmtId="0" fontId="0" fillId="13" borderId="30" xfId="0" applyFill="1" applyBorder="1" applyAlignment="1">
      <alignment horizontal="left" vertical="top"/>
    </xf>
    <xf numFmtId="0" fontId="0" fillId="13" borderId="27" xfId="0" applyFill="1" applyBorder="1" applyAlignment="1">
      <alignment horizontal="left" vertical="top"/>
    </xf>
    <xf numFmtId="0" fontId="14" fillId="18" borderId="35" xfId="0" applyFont="1" applyFill="1" applyBorder="1" applyAlignment="1">
      <alignment horizontal="center"/>
    </xf>
    <xf numFmtId="0" fontId="14" fillId="18" borderId="30" xfId="0" applyFont="1" applyFill="1" applyBorder="1" applyAlignment="1">
      <alignment horizontal="center"/>
    </xf>
    <xf numFmtId="0" fontId="14" fillId="18" borderId="22" xfId="0" applyFont="1" applyFill="1" applyBorder="1" applyAlignment="1">
      <alignment horizontal="left"/>
    </xf>
    <xf numFmtId="0" fontId="14" fillId="18" borderId="3" xfId="0" applyFont="1" applyFill="1" applyBorder="1" applyAlignment="1">
      <alignment horizontal="left"/>
    </xf>
    <xf numFmtId="0" fontId="12" fillId="13" borderId="23" xfId="4" applyFill="1" applyBorder="1" applyAlignment="1">
      <alignment horizontal="left"/>
    </xf>
    <xf numFmtId="0" fontId="12" fillId="13" borderId="24" xfId="4" applyFill="1" applyBorder="1" applyAlignment="1">
      <alignment horizontal="left"/>
    </xf>
    <xf numFmtId="0" fontId="14" fillId="0" borderId="0" xfId="0" applyFont="1" applyAlignment="1">
      <alignment horizontal="center"/>
    </xf>
    <xf numFmtId="0" fontId="2" fillId="9" borderId="14" xfId="0" applyFont="1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2" fillId="10" borderId="14" xfId="0" applyFont="1" applyFill="1" applyBorder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1" fillId="7" borderId="14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8" xfId="0" applyFont="1" applyFill="1" applyBorder="1" applyAlignment="1">
      <alignment horizontal="center"/>
    </xf>
    <xf numFmtId="0" fontId="7" fillId="12" borderId="9" xfId="0" applyFont="1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7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0" fillId="12" borderId="19" xfId="0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5" borderId="9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0" fontId="2" fillId="8" borderId="15" xfId="0" applyFont="1" applyFill="1" applyBorder="1" applyAlignment="1">
      <alignment horizontal="center"/>
    </xf>
    <xf numFmtId="0" fontId="0" fillId="0" borderId="0" xfId="0"/>
    <xf numFmtId="0" fontId="0" fillId="0" borderId="13" xfId="0" applyBorder="1"/>
    <xf numFmtId="0" fontId="0" fillId="0" borderId="19" xfId="0" applyBorder="1"/>
    <xf numFmtId="0" fontId="0" fillId="0" borderId="20" xfId="0" applyBorder="1"/>
    <xf numFmtId="0" fontId="12" fillId="0" borderId="0" xfId="4" applyBorder="1" applyAlignment="1">
      <alignment horizontal="left"/>
    </xf>
    <xf numFmtId="0" fontId="0" fillId="0" borderId="13" xfId="0" applyBorder="1" applyAlignment="1">
      <alignment horizontal="left"/>
    </xf>
    <xf numFmtId="0" fontId="2" fillId="0" borderId="34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9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8" xfId="0" applyFont="1" applyBorder="1" applyAlignment="1">
      <alignment horizontal="left"/>
    </xf>
    <xf numFmtId="0" fontId="2" fillId="0" borderId="37" xfId="0" applyFont="1" applyBorder="1" applyAlignment="1">
      <alignment horizontal="left"/>
    </xf>
    <xf numFmtId="0" fontId="2" fillId="0" borderId="39" xfId="0" applyFont="1" applyBorder="1" applyAlignment="1">
      <alignment horizontal="left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</cellXfs>
  <cellStyles count="5">
    <cellStyle name="40% - Accent5" xfId="2" builtinId="47"/>
    <cellStyle name="Accent6" xfId="3" builtinId="49"/>
    <cellStyle name="Bad" xfId="1" builtinId="27"/>
    <cellStyle name="Hyperlink" xfId="4" builtinId="8"/>
    <cellStyle name="Normal" xfId="0" builtinId="0"/>
  </cellStyles>
  <dxfs count="1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gray0625">
          <bgColor rgb="FFFFFF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gray0625">
          <bgColor rgb="FFFFFF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gray0625">
          <bgColor rgb="FFFFFF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gray0625">
          <bgColor rgb="FFFFFF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gray0625">
          <bgColor rgb="FFFFFF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gray0625">
          <bgColor rgb="FFFFFF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gray0625">
          <bgColor rgb="FFFFFF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gray0625">
          <bgColor rgb="FFFFFF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gray0625">
          <bgColor rgb="FFFFFF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gray0625">
          <bgColor rgb="FFFFFF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gray0625">
          <bgColor rgb="FFFFFF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gray0625">
          <bgColor rgb="FFFFFF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gray0625">
          <bgColor rgb="FFFFFF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66"/>
      <color rgb="FF99FF99"/>
      <color rgb="FFCCECFF"/>
      <color rgb="FF9999FF"/>
      <color rgb="FFFFFF99"/>
      <color rgb="FFFFFFCC"/>
      <color rgb="FFFFCCFF"/>
      <color rgb="FFCCFF33"/>
      <color rgb="FFCC99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example@gmail.com" TargetMode="External"/><Relationship Id="rId2" Type="http://schemas.openxmlformats.org/officeDocument/2006/relationships/hyperlink" Target="mailto:rileyanne1@ec.rr.com" TargetMode="External"/><Relationship Id="rId1" Type="http://schemas.openxmlformats.org/officeDocument/2006/relationships/hyperlink" Target="mailto:davidpeterkramer@outlook.com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example@gmail.com" TargetMode="External"/><Relationship Id="rId2" Type="http://schemas.openxmlformats.org/officeDocument/2006/relationships/hyperlink" Target="mailto:rileyanne1@ec.rr.com" TargetMode="External"/><Relationship Id="rId1" Type="http://schemas.openxmlformats.org/officeDocument/2006/relationships/hyperlink" Target="mailto:davidpeterkramer@outlook.com" TargetMode="Externa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example@gmail.com" TargetMode="External"/><Relationship Id="rId2" Type="http://schemas.openxmlformats.org/officeDocument/2006/relationships/hyperlink" Target="mailto:rileyanne1@ec.rr.com" TargetMode="External"/><Relationship Id="rId1" Type="http://schemas.openxmlformats.org/officeDocument/2006/relationships/hyperlink" Target="mailto:davidpeterkramer@outlook.com" TargetMode="Externa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example@gmail.com" TargetMode="External"/><Relationship Id="rId2" Type="http://schemas.openxmlformats.org/officeDocument/2006/relationships/hyperlink" Target="mailto:rileyanne1@ec.rr.com" TargetMode="External"/><Relationship Id="rId1" Type="http://schemas.openxmlformats.org/officeDocument/2006/relationships/hyperlink" Target="mailto:davidpeterkramer@outlook.com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example@gmail.com" TargetMode="External"/><Relationship Id="rId2" Type="http://schemas.openxmlformats.org/officeDocument/2006/relationships/hyperlink" Target="mailto:rileyanne1@ec.rr.com" TargetMode="External"/><Relationship Id="rId1" Type="http://schemas.openxmlformats.org/officeDocument/2006/relationships/hyperlink" Target="mailto:davidpeterkramer@outlook.com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example@gmail.com" TargetMode="External"/><Relationship Id="rId2" Type="http://schemas.openxmlformats.org/officeDocument/2006/relationships/hyperlink" Target="mailto:rileyanne1@ec.rr.com" TargetMode="External"/><Relationship Id="rId1" Type="http://schemas.openxmlformats.org/officeDocument/2006/relationships/hyperlink" Target="mailto:davidpeterkramer@outlook.com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example@gmail.com" TargetMode="External"/><Relationship Id="rId2" Type="http://schemas.openxmlformats.org/officeDocument/2006/relationships/hyperlink" Target="mailto:rileyanne1@ec.rr.com" TargetMode="External"/><Relationship Id="rId1" Type="http://schemas.openxmlformats.org/officeDocument/2006/relationships/hyperlink" Target="mailto:davidpeterkramer@outlook.com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mailto:rileyanne1@ec.rr.com" TargetMode="External"/><Relationship Id="rId1" Type="http://schemas.openxmlformats.org/officeDocument/2006/relationships/hyperlink" Target="mailto:davidpeterkramer@outlook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mailto:rileyanne1@ec.rr.com" TargetMode="External"/><Relationship Id="rId1" Type="http://schemas.openxmlformats.org/officeDocument/2006/relationships/hyperlink" Target="mailto:davidpeterkramer@outlook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rileyanne1@ec.rr.com" TargetMode="External"/><Relationship Id="rId1" Type="http://schemas.openxmlformats.org/officeDocument/2006/relationships/hyperlink" Target="mailto:davidpeterkramer@outlook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mailto:rileyanne1@ec.rr.com" TargetMode="External"/><Relationship Id="rId1" Type="http://schemas.openxmlformats.org/officeDocument/2006/relationships/hyperlink" Target="mailto:davidpeterkramer@outlook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mailto:rileyanne1@ec.rr.com" TargetMode="External"/><Relationship Id="rId1" Type="http://schemas.openxmlformats.org/officeDocument/2006/relationships/hyperlink" Target="mailto:davidpeterkramer@outlook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mailto:rileyanne1@ec.rr.com" TargetMode="External"/><Relationship Id="rId1" Type="http://schemas.openxmlformats.org/officeDocument/2006/relationships/hyperlink" Target="mailto:davidpeterkramer@outlook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"/>
  <sheetViews>
    <sheetView tabSelected="1" zoomScale="80" zoomScaleNormal="80" workbookViewId="0">
      <selection activeCell="H33" sqref="H33"/>
    </sheetView>
  </sheetViews>
  <sheetFormatPr defaultRowHeight="15" x14ac:dyDescent="0.25"/>
  <cols>
    <col min="1" max="1" width="9.28515625" customWidth="1"/>
    <col min="2" max="2" width="11.42578125" customWidth="1"/>
    <col min="3" max="3" width="12.28515625" customWidth="1"/>
    <col min="4" max="6" width="9.28515625" customWidth="1"/>
    <col min="7" max="7" width="12.42578125" customWidth="1"/>
    <col min="8" max="10" width="9.28515625" customWidth="1"/>
    <col min="11" max="11" width="13.28515625" customWidth="1"/>
    <col min="12" max="14" width="9.28515625" customWidth="1"/>
    <col min="15" max="15" width="13.28515625" customWidth="1"/>
  </cols>
  <sheetData>
    <row r="1" spans="1:15" ht="23.65" customHeight="1" x14ac:dyDescent="0.45">
      <c r="A1" s="133" t="s">
        <v>16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5"/>
    </row>
    <row r="2" spans="1:15" ht="15" customHeight="1" x14ac:dyDescent="0.25">
      <c r="A2" s="44" t="s">
        <v>17</v>
      </c>
      <c r="B2" s="45">
        <f ca="1">TODAY()</f>
        <v>45701</v>
      </c>
      <c r="C2" s="46"/>
      <c r="D2" s="46"/>
      <c r="E2" s="46"/>
      <c r="F2" s="136" t="s">
        <v>18</v>
      </c>
      <c r="G2" s="137"/>
      <c r="H2" s="137"/>
      <c r="I2" s="137"/>
      <c r="J2" s="137"/>
      <c r="K2" s="46"/>
      <c r="L2" s="46"/>
      <c r="M2" s="46"/>
      <c r="N2" s="46"/>
      <c r="O2" s="47"/>
    </row>
    <row r="3" spans="1:15" ht="8.65" customHeight="1" thickBot="1" x14ac:dyDescent="0.3">
      <c r="A3" s="48"/>
      <c r="B3" s="49"/>
      <c r="C3" s="49"/>
      <c r="D3" s="49"/>
      <c r="E3" s="49"/>
      <c r="F3" s="138"/>
      <c r="G3" s="138"/>
      <c r="H3" s="138"/>
      <c r="I3" s="138"/>
      <c r="J3" s="138"/>
      <c r="K3" s="49"/>
      <c r="L3" s="49"/>
      <c r="M3" s="49"/>
      <c r="N3" s="49"/>
      <c r="O3" s="50"/>
    </row>
    <row r="4" spans="1:15" ht="21" x14ac:dyDescent="0.35">
      <c r="A4" s="40" t="s">
        <v>13</v>
      </c>
      <c r="B4" s="41"/>
      <c r="C4" s="2"/>
      <c r="D4" s="2"/>
      <c r="E4" s="2"/>
      <c r="F4" s="2"/>
      <c r="G4" s="2"/>
      <c r="H4" s="2"/>
      <c r="I4" s="2"/>
      <c r="J4" s="2"/>
      <c r="K4" s="3"/>
      <c r="L4" s="51"/>
      <c r="M4" s="51"/>
      <c r="N4" s="51"/>
      <c r="O4" s="51"/>
    </row>
    <row r="5" spans="1:15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3"/>
      <c r="L5" s="51"/>
      <c r="M5" s="51"/>
      <c r="N5" s="51"/>
      <c r="O5" s="51"/>
    </row>
    <row r="6" spans="1:15" ht="19.5" thickBot="1" x14ac:dyDescent="0.35">
      <c r="A6" s="127" t="s">
        <v>10</v>
      </c>
      <c r="B6" s="128"/>
      <c r="C6" s="129"/>
      <c r="D6" s="4"/>
      <c r="E6" s="127" t="s">
        <v>1</v>
      </c>
      <c r="F6" s="128"/>
      <c r="G6" s="129"/>
      <c r="H6" s="4"/>
      <c r="I6" s="127" t="s">
        <v>2</v>
      </c>
      <c r="J6" s="128"/>
      <c r="K6" s="129"/>
      <c r="L6" s="52"/>
      <c r="M6" s="51"/>
      <c r="N6" s="51"/>
      <c r="O6" s="51"/>
    </row>
    <row r="7" spans="1:15" ht="18.75" x14ac:dyDescent="0.3">
      <c r="A7" s="42">
        <f ca="1">License!L3</f>
        <v>0</v>
      </c>
      <c r="B7" s="4" t="s">
        <v>20</v>
      </c>
      <c r="C7" s="5"/>
      <c r="D7" s="4"/>
      <c r="E7" s="42">
        <f ca="1">ALCS!K3</f>
        <v>0</v>
      </c>
      <c r="F7" s="4" t="s">
        <v>20</v>
      </c>
      <c r="G7" s="5"/>
      <c r="H7" s="4"/>
      <c r="I7" s="42">
        <f ca="1">PALS!K3</f>
        <v>0</v>
      </c>
      <c r="J7" s="4" t="s">
        <v>20</v>
      </c>
      <c r="K7" s="6"/>
      <c r="L7" s="52"/>
      <c r="M7" s="51"/>
      <c r="N7" s="51"/>
      <c r="O7" s="51"/>
    </row>
    <row r="8" spans="1:15" ht="18.75" x14ac:dyDescent="0.3">
      <c r="A8" s="43">
        <f ca="1">License!K3</f>
        <v>1</v>
      </c>
      <c r="B8" s="7" t="s">
        <v>21</v>
      </c>
      <c r="C8" s="8"/>
      <c r="D8" s="4"/>
      <c r="E8" s="43">
        <f ca="1">ALCS!J3</f>
        <v>0</v>
      </c>
      <c r="F8" s="7" t="s">
        <v>21</v>
      </c>
      <c r="G8" s="8"/>
      <c r="H8" s="4"/>
      <c r="I8" s="43">
        <f ca="1">PALS!J3</f>
        <v>0</v>
      </c>
      <c r="J8" s="7" t="s">
        <v>21</v>
      </c>
      <c r="K8" s="9"/>
      <c r="L8" s="52"/>
      <c r="M8" s="51"/>
      <c r="N8" s="51"/>
      <c r="O8" s="51"/>
    </row>
    <row r="9" spans="1:15" ht="21" x14ac:dyDescent="0.35">
      <c r="A9" s="10"/>
      <c r="B9" s="4"/>
      <c r="C9" s="4"/>
      <c r="D9" s="4"/>
      <c r="E9" s="4"/>
      <c r="F9" s="4"/>
      <c r="G9" s="4"/>
      <c r="H9" s="4"/>
      <c r="I9" s="4"/>
      <c r="J9" s="4"/>
      <c r="K9" s="6"/>
      <c r="L9" s="52"/>
      <c r="M9" s="139" t="s">
        <v>14</v>
      </c>
      <c r="N9" s="140"/>
      <c r="O9" s="141"/>
    </row>
    <row r="10" spans="1:15" ht="18.75" x14ac:dyDescent="0.3">
      <c r="A10" s="10"/>
      <c r="B10" s="4"/>
      <c r="C10" s="4"/>
      <c r="D10" s="4"/>
      <c r="E10" s="4"/>
      <c r="F10" s="4"/>
      <c r="G10" s="4"/>
      <c r="H10" s="4"/>
      <c r="I10" s="4"/>
      <c r="J10" s="4"/>
      <c r="K10" s="6"/>
      <c r="L10" s="52"/>
      <c r="M10" s="18"/>
      <c r="N10" s="14"/>
      <c r="O10" s="15"/>
    </row>
    <row r="11" spans="1:15" ht="19.5" thickBot="1" x14ac:dyDescent="0.35">
      <c r="A11" s="127" t="s">
        <v>3</v>
      </c>
      <c r="B11" s="128"/>
      <c r="C11" s="129"/>
      <c r="D11" s="4"/>
      <c r="E11" s="127" t="s">
        <v>9</v>
      </c>
      <c r="F11" s="128"/>
      <c r="G11" s="129"/>
      <c r="H11" s="4"/>
      <c r="I11" s="130" t="s">
        <v>8</v>
      </c>
      <c r="J11" s="131"/>
      <c r="K11" s="132"/>
      <c r="L11" s="52"/>
      <c r="M11" s="145" t="s">
        <v>8</v>
      </c>
      <c r="N11" s="146"/>
      <c r="O11" s="147"/>
    </row>
    <row r="12" spans="1:15" ht="18.75" x14ac:dyDescent="0.3">
      <c r="A12" s="42">
        <f ca="1">BLS!K3</f>
        <v>0</v>
      </c>
      <c r="B12" s="4" t="s">
        <v>20</v>
      </c>
      <c r="C12" s="5"/>
      <c r="D12" s="4"/>
      <c r="E12" s="42">
        <f ca="1">IO!K3</f>
        <v>0</v>
      </c>
      <c r="F12" s="4" t="s">
        <v>20</v>
      </c>
      <c r="G12" s="5"/>
      <c r="H12" s="4"/>
      <c r="I12" s="42">
        <f ca="1">NCI!K3</f>
        <v>0</v>
      </c>
      <c r="J12" s="4" t="s">
        <v>20</v>
      </c>
      <c r="K12" s="6"/>
      <c r="L12" s="52"/>
      <c r="M12" s="42">
        <f ca="1">UnitSecretary_NCI!K3</f>
        <v>0</v>
      </c>
      <c r="N12" s="14" t="s">
        <v>20</v>
      </c>
      <c r="O12" s="15"/>
    </row>
    <row r="13" spans="1:15" ht="18.75" x14ac:dyDescent="0.3">
      <c r="A13" s="43">
        <f ca="1">BLS!J3</f>
        <v>0</v>
      </c>
      <c r="B13" s="7" t="s">
        <v>21</v>
      </c>
      <c r="C13" s="8"/>
      <c r="D13" s="4"/>
      <c r="E13" s="43">
        <f ca="1">IO!J3</f>
        <v>0</v>
      </c>
      <c r="F13" s="7" t="s">
        <v>21</v>
      </c>
      <c r="G13" s="8"/>
      <c r="H13" s="4"/>
      <c r="I13" s="43">
        <f ca="1">NCI!J3</f>
        <v>0</v>
      </c>
      <c r="J13" s="7" t="s">
        <v>21</v>
      </c>
      <c r="K13" s="9"/>
      <c r="L13" s="52"/>
      <c r="M13" s="43">
        <f ca="1">UnitSecretary_NCI!J3</f>
        <v>0</v>
      </c>
      <c r="N13" s="16" t="s">
        <v>21</v>
      </c>
      <c r="O13" s="17"/>
    </row>
    <row r="14" spans="1:15" ht="18.75" x14ac:dyDescent="0.3">
      <c r="A14" s="1"/>
      <c r="B14" s="2"/>
      <c r="C14" s="2"/>
      <c r="D14" s="2"/>
      <c r="E14" s="2"/>
      <c r="F14" s="2"/>
      <c r="G14" s="2"/>
      <c r="H14" s="2"/>
      <c r="I14" s="2"/>
      <c r="J14" s="2"/>
      <c r="K14" s="3"/>
      <c r="L14" s="51"/>
      <c r="M14" s="18"/>
      <c r="N14" s="14"/>
      <c r="O14" s="15"/>
    </row>
    <row r="15" spans="1:15" ht="18.75" x14ac:dyDescent="0.3">
      <c r="A15" s="10"/>
      <c r="B15" s="4"/>
      <c r="C15" s="4"/>
      <c r="D15" s="4"/>
      <c r="E15" s="4"/>
      <c r="F15" s="4"/>
      <c r="G15" s="4"/>
      <c r="H15" s="4"/>
      <c r="I15" s="4"/>
      <c r="J15" s="4"/>
      <c r="K15" s="6"/>
      <c r="L15" s="52"/>
      <c r="M15" s="51"/>
      <c r="N15" s="51"/>
      <c r="O15" s="51"/>
    </row>
    <row r="16" spans="1:15" ht="19.5" thickBot="1" x14ac:dyDescent="0.35">
      <c r="A16" s="130" t="s">
        <v>6</v>
      </c>
      <c r="B16" s="131"/>
      <c r="C16" s="132"/>
      <c r="D16" s="4"/>
      <c r="E16" s="130" t="s">
        <v>7</v>
      </c>
      <c r="F16" s="131"/>
      <c r="G16" s="132"/>
      <c r="H16" s="4"/>
      <c r="I16" s="4"/>
      <c r="J16" s="4"/>
      <c r="K16" s="6"/>
      <c r="L16" s="52"/>
      <c r="M16" s="51"/>
      <c r="N16" s="51"/>
      <c r="O16" s="51"/>
    </row>
    <row r="17" spans="1:15" ht="18.75" x14ac:dyDescent="0.3">
      <c r="A17" s="42">
        <f ca="1">NIHSS!K3</f>
        <v>0</v>
      </c>
      <c r="B17" s="4" t="s">
        <v>20</v>
      </c>
      <c r="C17" s="5"/>
      <c r="D17" s="4"/>
      <c r="E17" s="42">
        <f ca="1">Peritoneal_Dialysis!K3</f>
        <v>0</v>
      </c>
      <c r="F17" s="4" t="s">
        <v>20</v>
      </c>
      <c r="G17" s="5"/>
      <c r="H17" s="4"/>
      <c r="I17" s="4"/>
      <c r="J17" s="4"/>
      <c r="K17" s="6"/>
      <c r="L17" s="52"/>
      <c r="M17" s="51"/>
      <c r="N17" s="51"/>
      <c r="O17" s="51"/>
    </row>
    <row r="18" spans="1:15" ht="18.75" x14ac:dyDescent="0.3">
      <c r="A18" s="43">
        <f ca="1">NIHSS!J3</f>
        <v>0</v>
      </c>
      <c r="B18" s="7" t="s">
        <v>21</v>
      </c>
      <c r="C18" s="8"/>
      <c r="D18" s="4"/>
      <c r="E18" s="43">
        <f ca="1">Peritoneal_Dialysis!J3</f>
        <v>0</v>
      </c>
      <c r="F18" s="7" t="s">
        <v>21</v>
      </c>
      <c r="G18" s="8"/>
      <c r="H18" s="4"/>
      <c r="I18" s="4"/>
      <c r="J18" s="4"/>
      <c r="K18" s="6"/>
      <c r="L18" s="52"/>
      <c r="M18" s="51"/>
      <c r="N18" s="51"/>
      <c r="O18" s="51"/>
    </row>
    <row r="19" spans="1:15" ht="15.75" thickBot="1" x14ac:dyDescent="0.3">
      <c r="A19" s="11"/>
      <c r="B19" s="12"/>
      <c r="C19" s="12"/>
      <c r="D19" s="12"/>
      <c r="E19" s="12"/>
      <c r="F19" s="12"/>
      <c r="G19" s="12"/>
      <c r="H19" s="12"/>
      <c r="I19" s="12"/>
      <c r="J19" s="12"/>
      <c r="K19" s="13"/>
      <c r="L19" s="51"/>
      <c r="M19" s="51"/>
      <c r="N19" s="51"/>
      <c r="O19" s="51"/>
    </row>
    <row r="20" spans="1:15" ht="15.75" thickBot="1" x14ac:dyDescent="0.3">
      <c r="A20" s="51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</row>
    <row r="21" spans="1:15" ht="21" x14ac:dyDescent="0.35">
      <c r="A21" s="27" t="s">
        <v>12</v>
      </c>
      <c r="B21" s="28"/>
      <c r="C21" s="28"/>
      <c r="D21" s="28"/>
      <c r="E21" s="28"/>
      <c r="F21" s="28"/>
      <c r="G21" s="29"/>
      <c r="H21" s="51"/>
      <c r="I21" s="142" t="s">
        <v>15</v>
      </c>
      <c r="J21" s="143"/>
      <c r="K21" s="143"/>
      <c r="L21" s="144"/>
      <c r="M21" s="51"/>
      <c r="N21" s="51"/>
      <c r="O21" s="51"/>
    </row>
    <row r="22" spans="1:15" x14ac:dyDescent="0.25">
      <c r="A22" s="30"/>
      <c r="B22" s="31"/>
      <c r="C22" s="31"/>
      <c r="D22" s="31"/>
      <c r="E22" s="31"/>
      <c r="F22" s="31"/>
      <c r="G22" s="32"/>
      <c r="H22" s="51"/>
      <c r="I22" s="19"/>
      <c r="J22" s="20"/>
      <c r="K22" s="20"/>
      <c r="L22" s="21"/>
      <c r="M22" s="51"/>
      <c r="N22" s="51"/>
      <c r="O22" s="51"/>
    </row>
    <row r="23" spans="1:15" ht="19.5" thickBot="1" x14ac:dyDescent="0.35">
      <c r="A23" s="121" t="s">
        <v>10</v>
      </c>
      <c r="B23" s="122"/>
      <c r="C23" s="123"/>
      <c r="D23" s="33"/>
      <c r="E23" s="121" t="s">
        <v>8</v>
      </c>
      <c r="F23" s="122"/>
      <c r="G23" s="123"/>
      <c r="H23" s="52"/>
      <c r="I23" s="124" t="s">
        <v>3</v>
      </c>
      <c r="J23" s="125"/>
      <c r="K23" s="126"/>
      <c r="L23" s="21"/>
      <c r="M23" s="51"/>
      <c r="N23" s="51"/>
      <c r="O23" s="51"/>
    </row>
    <row r="24" spans="1:15" ht="18.75" x14ac:dyDescent="0.3">
      <c r="A24" s="42">
        <f ca="1">PTC_License!L3</f>
        <v>1</v>
      </c>
      <c r="B24" s="33" t="s">
        <v>20</v>
      </c>
      <c r="C24" s="34"/>
      <c r="D24" s="33"/>
      <c r="E24" s="42">
        <f ca="1">PCT_NCI!K3</f>
        <v>0</v>
      </c>
      <c r="F24" s="33" t="s">
        <v>20</v>
      </c>
      <c r="G24" s="35"/>
      <c r="H24" s="52"/>
      <c r="I24" s="42">
        <f ca="1">CardiacSurvTech_BLS!K3</f>
        <v>0</v>
      </c>
      <c r="J24" s="22" t="s">
        <v>20</v>
      </c>
      <c r="K24" s="23"/>
      <c r="L24" s="21"/>
      <c r="M24" s="51"/>
      <c r="N24" s="51"/>
      <c r="O24" s="51"/>
    </row>
    <row r="25" spans="1:15" ht="18.75" x14ac:dyDescent="0.3">
      <c r="A25" s="43">
        <f ca="1">PTC_License!K3</f>
        <v>0</v>
      </c>
      <c r="B25" s="36" t="s">
        <v>21</v>
      </c>
      <c r="C25" s="37"/>
      <c r="D25" s="33"/>
      <c r="E25" s="43">
        <f ca="1">PCT_NCI!J3</f>
        <v>0</v>
      </c>
      <c r="F25" s="36" t="s">
        <v>21</v>
      </c>
      <c r="G25" s="38"/>
      <c r="H25" s="52"/>
      <c r="I25" s="43">
        <f ca="1">CardiacSurvTech_BLS!J3</f>
        <v>1</v>
      </c>
      <c r="J25" s="24" t="s">
        <v>21</v>
      </c>
      <c r="K25" s="25"/>
      <c r="L25" s="21"/>
      <c r="M25" s="51"/>
      <c r="N25" s="51"/>
      <c r="O25" s="51"/>
    </row>
    <row r="26" spans="1:15" ht="18.75" x14ac:dyDescent="0.3">
      <c r="A26" s="39"/>
      <c r="B26" s="33"/>
      <c r="C26" s="33"/>
      <c r="D26" s="33"/>
      <c r="E26" s="33"/>
      <c r="F26" s="33"/>
      <c r="G26" s="35"/>
      <c r="H26" s="52"/>
      <c r="I26" s="26"/>
      <c r="J26" s="22"/>
      <c r="K26" s="22"/>
      <c r="L26" s="21"/>
      <c r="M26" s="51"/>
      <c r="N26" s="51"/>
      <c r="O26" s="51"/>
    </row>
    <row r="27" spans="1:15" ht="18.75" x14ac:dyDescent="0.3">
      <c r="A27" s="51"/>
      <c r="B27" s="51"/>
      <c r="C27" s="52"/>
      <c r="D27" s="51"/>
      <c r="E27" s="51"/>
      <c r="F27" s="52"/>
      <c r="G27" s="51"/>
      <c r="H27" s="52"/>
      <c r="I27" s="51"/>
      <c r="J27" s="51"/>
      <c r="K27" s="51"/>
      <c r="L27" s="51"/>
      <c r="M27" s="51"/>
      <c r="N27" s="51"/>
      <c r="O27" s="51"/>
    </row>
  </sheetData>
  <mergeCells count="16">
    <mergeCell ref="A1:O1"/>
    <mergeCell ref="F2:J3"/>
    <mergeCell ref="M9:O9"/>
    <mergeCell ref="I21:L21"/>
    <mergeCell ref="M11:O11"/>
    <mergeCell ref="A6:C6"/>
    <mergeCell ref="E6:G6"/>
    <mergeCell ref="I6:K6"/>
    <mergeCell ref="A23:C23"/>
    <mergeCell ref="E23:G23"/>
    <mergeCell ref="I23:K23"/>
    <mergeCell ref="E11:G11"/>
    <mergeCell ref="E16:G16"/>
    <mergeCell ref="A11:C11"/>
    <mergeCell ref="A16:C16"/>
    <mergeCell ref="I11:K11"/>
  </mergeCells>
  <pageMargins left="0.7" right="0.7" top="0.75" bottom="0.75" header="0.3" footer="0.3"/>
  <pageSetup orientation="portrait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57"/>
  <sheetViews>
    <sheetView zoomScaleNormal="100" workbookViewId="0">
      <selection activeCell="I22" sqref="I22"/>
    </sheetView>
  </sheetViews>
  <sheetFormatPr defaultRowHeight="15" x14ac:dyDescent="0.25"/>
  <cols>
    <col min="1" max="1" width="28.28515625" customWidth="1"/>
    <col min="2" max="2" width="17.28515625" customWidth="1"/>
    <col min="3" max="3" width="23.28515625" customWidth="1"/>
    <col min="4" max="5" width="8.7109375" style="53" customWidth="1"/>
    <col min="6" max="6" width="8.85546875" style="53" customWidth="1"/>
    <col min="7" max="7" width="33.5703125" style="53" customWidth="1"/>
    <col min="8" max="9" width="9.42578125" style="53" customWidth="1"/>
    <col min="10" max="10" width="16.28515625" bestFit="1" customWidth="1"/>
    <col min="11" max="11" width="17.140625" customWidth="1"/>
    <col min="12" max="12" width="17.7109375" customWidth="1"/>
  </cols>
  <sheetData>
    <row r="1" spans="1:17" ht="23.65" customHeight="1" thickBot="1" x14ac:dyDescent="0.35">
      <c r="A1" s="64" t="s">
        <v>11</v>
      </c>
      <c r="B1" s="159" t="s">
        <v>19</v>
      </c>
      <c r="C1" s="160"/>
      <c r="D1" s="161" t="s">
        <v>22</v>
      </c>
      <c r="E1" s="162"/>
      <c r="F1" s="163"/>
      <c r="G1" s="154" t="s">
        <v>33</v>
      </c>
      <c r="J1" s="156" t="s">
        <v>26</v>
      </c>
      <c r="K1" s="157"/>
      <c r="L1" s="158"/>
    </row>
    <row r="2" spans="1:17" ht="19.5" thickBot="1" x14ac:dyDescent="0.35">
      <c r="A2" s="65" t="s">
        <v>4</v>
      </c>
      <c r="B2" s="65" t="s">
        <v>0</v>
      </c>
      <c r="C2" s="61" t="s">
        <v>5</v>
      </c>
      <c r="D2" s="66" t="s">
        <v>23</v>
      </c>
      <c r="E2" s="67" t="s">
        <v>24</v>
      </c>
      <c r="F2" s="68" t="s">
        <v>25</v>
      </c>
      <c r="G2" s="155"/>
      <c r="J2" s="84" t="s">
        <v>27</v>
      </c>
      <c r="K2" s="87" t="s">
        <v>28</v>
      </c>
      <c r="L2" s="85" t="s">
        <v>29</v>
      </c>
    </row>
    <row r="3" spans="1:17" ht="16.5" thickBot="1" x14ac:dyDescent="0.3">
      <c r="A3" s="90" t="s">
        <v>51</v>
      </c>
      <c r="B3" s="92">
        <v>45759</v>
      </c>
      <c r="C3" s="69" t="str">
        <f ca="1">IF(ISBLANK(B3), "", IF(0&gt;=(B3-'Nurse Grid Dashboard'!$B$2), "EXPIRED", IF(AND((B3-'Nurse Grid Dashboard'!$B$2)&gt;0, (B3-'Nurse Grid Dashboard'!$B$2)&lt;=90), "EXPIRES SOON", "GOOD STANDING")))</f>
        <v>EXPIRES SOON</v>
      </c>
      <c r="D3" s="56" t="s">
        <v>50</v>
      </c>
      <c r="E3" s="59"/>
      <c r="F3" s="60"/>
      <c r="G3" s="80" t="s">
        <v>34</v>
      </c>
      <c r="J3" s="82">
        <f ca="1">COUNTIF(C3:C57, "*good standing*")</f>
        <v>0</v>
      </c>
      <c r="K3" s="86">
        <f ca="1">COUNTIF(C3:C57, "*expires soon*")</f>
        <v>1</v>
      </c>
      <c r="L3" s="83">
        <f ca="1">COUNTIF(C3:C57, "*expired*")</f>
        <v>0</v>
      </c>
    </row>
    <row r="4" spans="1:17" ht="16.5" thickBot="1" x14ac:dyDescent="0.3">
      <c r="A4" s="91"/>
      <c r="B4" s="93"/>
      <c r="C4" s="69" t="str">
        <f>IF(ISBLANK(B4), "", IF(0&gt;=(B4-'Nurse Grid Dashboard'!$B$2), "EXPIRED", IF(AND((B4-'Nurse Grid Dashboard'!$B$2)&gt;0, (B4-'Nurse Grid Dashboard'!$B$2)&lt;=90), "EXPIRES SOON", "GOOD STANDING")))</f>
        <v/>
      </c>
      <c r="D4" s="55"/>
      <c r="E4" s="60"/>
      <c r="F4" s="60"/>
      <c r="G4" s="79"/>
    </row>
    <row r="5" spans="1:17" ht="18.75" x14ac:dyDescent="0.3">
      <c r="A5" s="91"/>
      <c r="B5" s="93"/>
      <c r="C5" s="69" t="str">
        <f>IF(ISBLANK(B5), "", IF(0&gt;=(B5-'Nurse Grid Dashboard'!$B$2), "EXPIRED", IF(AND((B5-'Nurse Grid Dashboard'!$B$2)&gt;0, (B5-'Nurse Grid Dashboard'!$B$2)&lt;=90), "EXPIRES SOON", "GOOD STANDING")))</f>
        <v/>
      </c>
      <c r="D5" s="55"/>
      <c r="E5" s="60"/>
      <c r="F5" s="60"/>
      <c r="G5" s="79"/>
      <c r="J5" s="164" t="s">
        <v>30</v>
      </c>
      <c r="K5" s="165"/>
      <c r="L5" s="166"/>
    </row>
    <row r="6" spans="1:17" ht="15.75" x14ac:dyDescent="0.25">
      <c r="A6" s="91"/>
      <c r="B6" s="93"/>
      <c r="C6" s="69" t="str">
        <f>IF(ISBLANK(B6), "", IF(0&gt;=(B6-'Nurse Grid Dashboard'!$B$2), "EXPIRED", IF(AND((B6-'Nurse Grid Dashboard'!$B$2)&gt;0, (B6-'Nurse Grid Dashboard'!$B$2)&lt;=90), "EXPIRES SOON", "GOOD STANDING")))</f>
        <v/>
      </c>
      <c r="D6" s="55"/>
      <c r="E6" s="60"/>
      <c r="F6" s="60"/>
      <c r="G6" s="79"/>
      <c r="J6" s="81" t="s">
        <v>31</v>
      </c>
      <c r="K6" s="152" t="s">
        <v>34</v>
      </c>
      <c r="L6" s="153"/>
    </row>
    <row r="7" spans="1:17" ht="15.75" x14ac:dyDescent="0.25">
      <c r="A7" s="91"/>
      <c r="B7" s="93"/>
      <c r="C7" s="69" t="str">
        <f>IF(ISBLANK(B7), "", IF(0&gt;=(B7-'Nurse Grid Dashboard'!$B$2), "EXPIRED", IF(AND((B7-'Nurse Grid Dashboard'!$B$2)&gt;0, (B7-'Nurse Grid Dashboard'!$B$2)&lt;=90), "EXPIRES SOON", "GOOD STANDING")))</f>
        <v/>
      </c>
      <c r="D7" s="55"/>
      <c r="E7" s="60"/>
      <c r="F7" s="60"/>
      <c r="G7" s="79"/>
      <c r="J7" s="81" t="s">
        <v>32</v>
      </c>
      <c r="K7" s="152" t="s">
        <v>34</v>
      </c>
      <c r="L7" s="153"/>
    </row>
    <row r="8" spans="1:17" ht="15.75" x14ac:dyDescent="0.25">
      <c r="A8" s="91"/>
      <c r="B8" s="93"/>
      <c r="C8" s="69" t="str">
        <f>IF(ISBLANK(B8), "", IF(0&gt;=(B8-'Nurse Grid Dashboard'!$B$2), "EXPIRED", IF(AND((B8-'Nurse Grid Dashboard'!$B$2)&gt;0, (B8-'Nurse Grid Dashboard'!$B$2)&lt;=90), "EXPIRES SOON", "GOOD STANDING")))</f>
        <v/>
      </c>
      <c r="D8" s="55"/>
      <c r="E8" s="60"/>
      <c r="F8" s="60"/>
      <c r="G8" s="79"/>
      <c r="J8" s="81" t="s">
        <v>35</v>
      </c>
      <c r="K8" s="148" t="s">
        <v>40</v>
      </c>
      <c r="L8" s="149"/>
    </row>
    <row r="9" spans="1:17" ht="15.75" x14ac:dyDescent="0.25">
      <c r="A9" s="91"/>
      <c r="B9" s="93"/>
      <c r="C9" s="69" t="str">
        <f>IF(ISBLANK(B9), "", IF(0&gt;=(B9-'Nurse Grid Dashboard'!$B$2), "EXPIRED", IF(AND((B9-'Nurse Grid Dashboard'!$B$2)&gt;0, (B9-'Nurse Grid Dashboard'!$B$2)&lt;=90), "EXPIRES SOON", "GOOD STANDING")))</f>
        <v/>
      </c>
      <c r="D9" s="55"/>
      <c r="E9" s="60"/>
      <c r="F9" s="60"/>
      <c r="G9" s="79"/>
      <c r="J9" s="81" t="s">
        <v>36</v>
      </c>
      <c r="K9" s="148" t="s">
        <v>41</v>
      </c>
      <c r="L9" s="149"/>
    </row>
    <row r="10" spans="1:17" ht="15.75" x14ac:dyDescent="0.25">
      <c r="A10" s="91"/>
      <c r="B10" s="93"/>
      <c r="C10" s="69" t="str">
        <f>IF(ISBLANK(B10), "", IF(0&gt;=(B10-'Nurse Grid Dashboard'!$B$2), "EXPIRED", IF(AND((B10-'Nurse Grid Dashboard'!$B$2)&gt;0, (B10-'Nurse Grid Dashboard'!$B$2)&lt;=90), "EXPIRES SOON", "GOOD STANDING")))</f>
        <v/>
      </c>
      <c r="D10" s="55"/>
      <c r="E10" s="60"/>
      <c r="F10" s="60"/>
      <c r="G10" s="79"/>
      <c r="J10" s="81" t="s">
        <v>39</v>
      </c>
      <c r="K10" s="148" t="s">
        <v>42</v>
      </c>
      <c r="L10" s="149"/>
    </row>
    <row r="11" spans="1:17" ht="15.6" customHeight="1" x14ac:dyDescent="0.25">
      <c r="A11" s="91"/>
      <c r="B11" s="93"/>
      <c r="C11" s="69" t="str">
        <f>IF(ISBLANK(B11), "", IF(0&gt;=(B11-'Nurse Grid Dashboard'!$B$2), "EXPIRED", IF(AND((B11-'Nurse Grid Dashboard'!$B$2)&gt;0, (B11-'Nurse Grid Dashboard'!$B$2)&lt;=90), "EXPIRES SOON", "GOOD STANDING")))</f>
        <v/>
      </c>
      <c r="D11" s="55"/>
      <c r="E11" s="60"/>
      <c r="F11" s="60"/>
      <c r="G11" s="79"/>
      <c r="H11" s="62"/>
      <c r="I11" s="62"/>
      <c r="J11" s="81" t="s">
        <v>37</v>
      </c>
      <c r="K11" s="148" t="s">
        <v>43</v>
      </c>
      <c r="L11" s="149"/>
      <c r="M11" s="57"/>
      <c r="N11" s="57"/>
      <c r="O11" s="57"/>
      <c r="P11" s="57"/>
      <c r="Q11" s="57"/>
    </row>
    <row r="12" spans="1:17" ht="15.75" x14ac:dyDescent="0.25">
      <c r="A12" s="91"/>
      <c r="B12" s="93"/>
      <c r="C12" s="69" t="str">
        <f>IF(ISBLANK(B12), "", IF(0&gt;=(B12-'Nurse Grid Dashboard'!$B$2), "EXPIRED", IF(AND((B12-'Nurse Grid Dashboard'!$B$2)&gt;0, (B12-'Nurse Grid Dashboard'!$B$2)&lt;=90), "EXPIRES SOON", "GOOD STANDING")))</f>
        <v/>
      </c>
      <c r="D12" s="55"/>
      <c r="E12" s="60"/>
      <c r="F12" s="60"/>
      <c r="G12" s="79"/>
      <c r="H12" s="62"/>
      <c r="I12" s="62"/>
      <c r="J12" s="88" t="s">
        <v>38</v>
      </c>
      <c r="K12" s="148" t="s">
        <v>44</v>
      </c>
      <c r="L12" s="149"/>
      <c r="M12" s="57"/>
      <c r="N12" s="57"/>
      <c r="O12" s="57"/>
      <c r="P12" s="57"/>
      <c r="Q12" s="57"/>
    </row>
    <row r="13" spans="1:17" ht="16.5" thickBot="1" x14ac:dyDescent="0.3">
      <c r="A13" s="91"/>
      <c r="B13" s="93"/>
      <c r="C13" s="69" t="str">
        <f>IF(ISBLANK(B13), "", IF(0&gt;=(B13-'Nurse Grid Dashboard'!$B$2), "EXPIRED", IF(AND((B13-'Nurse Grid Dashboard'!$B$2)&gt;0, (B13-'Nurse Grid Dashboard'!$B$2)&lt;=90), "EXPIRES SOON", "GOOD STANDING")))</f>
        <v/>
      </c>
      <c r="D13" s="55"/>
      <c r="E13" s="60"/>
      <c r="F13" s="60"/>
      <c r="G13" s="79"/>
      <c r="H13" s="62"/>
      <c r="I13" s="62"/>
      <c r="J13" s="89" t="s">
        <v>46</v>
      </c>
      <c r="K13" s="150" t="s">
        <v>45</v>
      </c>
      <c r="L13" s="151"/>
      <c r="M13" s="57"/>
      <c r="N13" s="57"/>
      <c r="O13" s="57"/>
      <c r="P13" s="57"/>
      <c r="Q13" s="57"/>
    </row>
    <row r="14" spans="1:17" ht="15.75" x14ac:dyDescent="0.25">
      <c r="A14" s="91"/>
      <c r="B14" s="93"/>
      <c r="C14" s="69" t="str">
        <f>IF(ISBLANK(B14), "", IF(0&gt;=(B14-'Nurse Grid Dashboard'!$B$2), "EXPIRED", IF(AND((B14-'Nurse Grid Dashboard'!$B$2)&gt;0, (B14-'Nurse Grid Dashboard'!$B$2)&lt;=90), "EXPIRES SOON", "GOOD STANDING")))</f>
        <v/>
      </c>
      <c r="D14" s="55"/>
      <c r="E14" s="60"/>
      <c r="F14" s="60"/>
      <c r="G14" s="79"/>
      <c r="H14" s="62"/>
      <c r="I14" s="62"/>
      <c r="J14" s="57"/>
      <c r="K14" s="57"/>
      <c r="L14" s="57"/>
      <c r="M14" s="57"/>
      <c r="N14" s="57"/>
      <c r="O14" s="57"/>
      <c r="P14" s="57"/>
      <c r="Q14" s="57"/>
    </row>
    <row r="15" spans="1:17" ht="15.75" x14ac:dyDescent="0.25">
      <c r="A15" s="91"/>
      <c r="B15" s="93"/>
      <c r="C15" s="69" t="str">
        <f>IF(ISBLANK(B15), "", IF(0&gt;=(B15-'Nurse Grid Dashboard'!$B$2), "EXPIRED", IF(AND((B15-'Nurse Grid Dashboard'!$B$2)&gt;0, (B15-'Nurse Grid Dashboard'!$B$2)&lt;=90), "EXPIRES SOON", "GOOD STANDING")))</f>
        <v/>
      </c>
      <c r="D15" s="55"/>
      <c r="E15" s="60"/>
      <c r="F15" s="60"/>
      <c r="G15" s="79"/>
    </row>
    <row r="16" spans="1:17" ht="15.75" x14ac:dyDescent="0.25">
      <c r="A16" s="91"/>
      <c r="B16" s="93"/>
      <c r="C16" s="69" t="str">
        <f>IF(ISBLANK(B16), "", IF(0&gt;=(B16-'Nurse Grid Dashboard'!$B$2), "EXPIRED", IF(AND((B16-'Nurse Grid Dashboard'!$B$2)&gt;0, (B16-'Nurse Grid Dashboard'!$B$2)&lt;=90), "EXPIRES SOON", "GOOD STANDING")))</f>
        <v/>
      </c>
      <c r="D16" s="55"/>
      <c r="E16" s="60"/>
      <c r="F16" s="60"/>
      <c r="G16" s="79"/>
    </row>
    <row r="17" spans="1:17" ht="15.75" x14ac:dyDescent="0.25">
      <c r="A17" s="91"/>
      <c r="B17" s="93"/>
      <c r="C17" s="69" t="str">
        <f>IF(ISBLANK(B17), "", IF(0&gt;=(B17-'Nurse Grid Dashboard'!$B$2), "EXPIRED", IF(AND((B17-'Nurse Grid Dashboard'!$B$2)&gt;0, (B17-'Nurse Grid Dashboard'!$B$2)&lt;=90), "EXPIRES SOON", "GOOD STANDING")))</f>
        <v/>
      </c>
      <c r="D17" s="55"/>
      <c r="E17" s="60"/>
      <c r="F17" s="60"/>
      <c r="G17" s="79"/>
    </row>
    <row r="18" spans="1:17" ht="15.75" x14ac:dyDescent="0.25">
      <c r="A18" s="91"/>
      <c r="B18" s="93"/>
      <c r="C18" s="69" t="str">
        <f>IF(ISBLANK(B18), "", IF(0&gt;=(B18-'Nurse Grid Dashboard'!$B$2), "EXPIRED", IF(AND((B18-'Nurse Grid Dashboard'!$B$2)&gt;0, (B18-'Nurse Grid Dashboard'!$B$2)&lt;=90), "EXPIRES SOON", "GOOD STANDING")))</f>
        <v/>
      </c>
      <c r="D18" s="55"/>
      <c r="E18" s="60"/>
      <c r="F18" s="60"/>
      <c r="G18" s="79"/>
    </row>
    <row r="19" spans="1:17" ht="15.75" x14ac:dyDescent="0.25">
      <c r="A19" s="91"/>
      <c r="B19" s="93"/>
      <c r="C19" s="69" t="str">
        <f>IF(ISBLANK(B19), "", IF(0&gt;=(B19-'Nurse Grid Dashboard'!$B$2), "EXPIRED", IF(AND((B19-'Nurse Grid Dashboard'!$B$2)&gt;0, (B19-'Nurse Grid Dashboard'!$B$2)&lt;=90), "EXPIRES SOON", "GOOD STANDING")))</f>
        <v/>
      </c>
      <c r="D19" s="55"/>
      <c r="E19" s="60"/>
      <c r="F19" s="60"/>
      <c r="G19" s="79"/>
    </row>
    <row r="20" spans="1:17" ht="15.75" x14ac:dyDescent="0.25">
      <c r="A20" s="91"/>
      <c r="B20" s="93"/>
      <c r="C20" s="69" t="str">
        <f>IF(ISBLANK(B20), "", IF(0&gt;=(B20-'Nurse Grid Dashboard'!$B$2), "EXPIRED", IF(AND((B20-'Nurse Grid Dashboard'!$B$2)&gt;0, (B20-'Nurse Grid Dashboard'!$B$2)&lt;=90), "EXPIRES SOON", "GOOD STANDING")))</f>
        <v/>
      </c>
      <c r="D20" s="55"/>
      <c r="E20" s="60"/>
      <c r="F20" s="77"/>
      <c r="G20" s="79"/>
      <c r="H20" s="63"/>
      <c r="I20" s="63"/>
      <c r="J20" s="58"/>
      <c r="K20" s="58"/>
      <c r="L20" s="58"/>
      <c r="M20" s="58"/>
      <c r="N20" s="58"/>
      <c r="O20" s="58"/>
      <c r="P20" s="58"/>
      <c r="Q20" s="58"/>
    </row>
    <row r="21" spans="1:17" ht="15.75" x14ac:dyDescent="0.25">
      <c r="A21" s="91"/>
      <c r="B21" s="93"/>
      <c r="C21" s="69" t="str">
        <f>IF(ISBLANK(B21), "", IF(0&gt;=(B21-'Nurse Grid Dashboard'!$B$2), "EXPIRED", IF(AND((B21-'Nurse Grid Dashboard'!$B$2)&gt;0, (B21-'Nurse Grid Dashboard'!$B$2)&lt;=90), "EXPIRES SOON", "GOOD STANDING")))</f>
        <v/>
      </c>
      <c r="D21" s="55"/>
      <c r="E21" s="60"/>
      <c r="F21" s="77"/>
      <c r="G21" s="79"/>
      <c r="H21" s="63"/>
      <c r="I21" s="63"/>
      <c r="J21" s="58"/>
      <c r="K21" s="58"/>
      <c r="L21" s="58"/>
      <c r="M21" s="58"/>
      <c r="N21" s="58"/>
      <c r="O21" s="58"/>
      <c r="P21" s="58"/>
      <c r="Q21" s="58"/>
    </row>
    <row r="22" spans="1:17" ht="15.75" x14ac:dyDescent="0.25">
      <c r="A22" s="91"/>
      <c r="B22" s="93"/>
      <c r="C22" s="69" t="str">
        <f>IF(ISBLANK(B22), "", IF(0&gt;=(B22-'Nurse Grid Dashboard'!$B$2), "EXPIRED", IF(AND((B22-'Nurse Grid Dashboard'!$B$2)&gt;0, (B22-'Nurse Grid Dashboard'!$B$2)&lt;=90), "EXPIRES SOON", "GOOD STANDING")))</f>
        <v/>
      </c>
      <c r="D22" s="55"/>
      <c r="E22" s="60"/>
      <c r="F22" s="77"/>
      <c r="G22" s="79"/>
      <c r="H22" s="63"/>
      <c r="I22" s="63"/>
      <c r="J22" s="58"/>
      <c r="K22" s="58"/>
      <c r="L22" s="58"/>
      <c r="M22" s="58"/>
      <c r="N22" s="58"/>
      <c r="O22" s="58"/>
      <c r="P22" s="58"/>
      <c r="Q22" s="58"/>
    </row>
    <row r="23" spans="1:17" ht="15.75" x14ac:dyDescent="0.25">
      <c r="A23" s="91"/>
      <c r="B23" s="93"/>
      <c r="C23" s="69" t="str">
        <f>IF(ISBLANK(B23), "", IF(0&gt;=(B23-'Nurse Grid Dashboard'!$B$2), "EXPIRED", IF(AND((B23-'Nurse Grid Dashboard'!$B$2)&gt;0, (B23-'Nurse Grid Dashboard'!$B$2)&lt;=90), "EXPIRES SOON", "GOOD STANDING")))</f>
        <v/>
      </c>
      <c r="D23" s="55"/>
      <c r="E23" s="60"/>
      <c r="F23" s="77"/>
      <c r="G23" s="79"/>
      <c r="H23" s="63"/>
      <c r="I23" s="63"/>
      <c r="J23" s="58"/>
      <c r="K23" s="58"/>
      <c r="L23" s="58"/>
      <c r="M23" s="58"/>
      <c r="N23" s="58"/>
      <c r="O23" s="58"/>
      <c r="P23" s="58"/>
      <c r="Q23" s="58"/>
    </row>
    <row r="24" spans="1:17" ht="15.75" x14ac:dyDescent="0.25">
      <c r="A24" s="91"/>
      <c r="B24" s="93"/>
      <c r="C24" s="69" t="str">
        <f>IF(ISBLANK(B24), "", IF(0&gt;=(B24-'Nurse Grid Dashboard'!$B$2), "EXPIRED", IF(AND((B24-'Nurse Grid Dashboard'!$B$2)&gt;0, (B24-'Nurse Grid Dashboard'!$B$2)&lt;=90), "EXPIRES SOON", "GOOD STANDING")))</f>
        <v/>
      </c>
      <c r="D24" s="55"/>
      <c r="E24" s="60"/>
      <c r="F24" s="60"/>
      <c r="G24" s="79"/>
    </row>
    <row r="25" spans="1:17" ht="15.75" x14ac:dyDescent="0.25">
      <c r="A25" s="91"/>
      <c r="B25" s="93"/>
      <c r="C25" s="69" t="str">
        <f>IF(ISBLANK(B25), "", IF(0&gt;=(B25-'Nurse Grid Dashboard'!$B$2), "EXPIRED", IF(AND((B25-'Nurse Grid Dashboard'!$B$2)&gt;0, (B25-'Nurse Grid Dashboard'!$B$2)&lt;=90), "EXPIRES SOON", "GOOD STANDING")))</f>
        <v/>
      </c>
      <c r="D25" s="55"/>
      <c r="E25" s="60"/>
      <c r="F25" s="60"/>
      <c r="G25" s="79"/>
    </row>
    <row r="26" spans="1:17" ht="15.75" x14ac:dyDescent="0.25">
      <c r="A26" s="91"/>
      <c r="B26" s="93"/>
      <c r="C26" s="69" t="str">
        <f>IF(ISBLANK(B26), "", IF(0&gt;=(B26-'Nurse Grid Dashboard'!$B$2), "EXPIRED", IF(AND((B26-'Nurse Grid Dashboard'!$B$2)&gt;0, (B26-'Nurse Grid Dashboard'!$B$2)&lt;=90), "EXPIRES SOON", "GOOD STANDING")))</f>
        <v/>
      </c>
      <c r="D26" s="55"/>
      <c r="E26" s="60"/>
      <c r="F26" s="60"/>
      <c r="G26" s="79"/>
    </row>
    <row r="27" spans="1:17" ht="15.75" x14ac:dyDescent="0.25">
      <c r="A27" s="91"/>
      <c r="B27" s="93"/>
      <c r="C27" s="69" t="str">
        <f>IF(ISBLANK(B27), "", IF(0&gt;=(B27-'Nurse Grid Dashboard'!$B$2), "EXPIRED", IF(AND((B27-'Nurse Grid Dashboard'!$B$2)&gt;0, (B27-'Nurse Grid Dashboard'!$B$2)&lt;=90), "EXPIRES SOON", "GOOD STANDING")))</f>
        <v/>
      </c>
      <c r="D27" s="55"/>
      <c r="E27" s="60"/>
      <c r="F27" s="60"/>
      <c r="G27" s="79"/>
    </row>
    <row r="28" spans="1:17" ht="15.75" x14ac:dyDescent="0.25">
      <c r="A28" s="91"/>
      <c r="B28" s="93"/>
      <c r="C28" s="69" t="str">
        <f>IF(ISBLANK(B28), "", IF(0&gt;=(B28-'Nurse Grid Dashboard'!$B$2), "EXPIRED", IF(AND((B28-'Nurse Grid Dashboard'!$B$2)&gt;0, (B28-'Nurse Grid Dashboard'!$B$2)&lt;=90), "EXPIRES SOON", "GOOD STANDING")))</f>
        <v/>
      </c>
      <c r="D28" s="55"/>
      <c r="E28" s="60"/>
      <c r="F28" s="60"/>
      <c r="G28" s="79"/>
    </row>
    <row r="29" spans="1:17" ht="15.75" x14ac:dyDescent="0.25">
      <c r="A29" s="91"/>
      <c r="B29" s="93"/>
      <c r="C29" s="69" t="str">
        <f>IF(ISBLANK(B29), "", IF(0&gt;=(B29-'Nurse Grid Dashboard'!$B$2), "EXPIRED", IF(AND((B29-'Nurse Grid Dashboard'!$B$2)&gt;0, (B29-'Nurse Grid Dashboard'!$B$2)&lt;=90), "EXPIRES SOON", "GOOD STANDING")))</f>
        <v/>
      </c>
      <c r="D29" s="55"/>
      <c r="E29" s="60"/>
      <c r="F29" s="60"/>
      <c r="G29" s="79"/>
    </row>
    <row r="30" spans="1:17" ht="15.75" x14ac:dyDescent="0.25">
      <c r="A30" s="91"/>
      <c r="B30" s="93"/>
      <c r="C30" s="69" t="str">
        <f>IF(ISBLANK(B30), "", IF(0&gt;=(B30-'Nurse Grid Dashboard'!$B$2), "EXPIRED", IF(AND((B30-'Nurse Grid Dashboard'!$B$2)&gt;0, (B30-'Nurse Grid Dashboard'!$B$2)&lt;=90), "EXPIRES SOON", "GOOD STANDING")))</f>
        <v/>
      </c>
      <c r="D30" s="55"/>
      <c r="E30" s="60"/>
      <c r="F30" s="60"/>
      <c r="G30" s="79"/>
    </row>
    <row r="31" spans="1:17" ht="15.75" x14ac:dyDescent="0.25">
      <c r="A31" s="91"/>
      <c r="B31" s="93"/>
      <c r="C31" s="69" t="str">
        <f>IF(ISBLANK(B31), "", IF(0&gt;=(B31-'Nurse Grid Dashboard'!$B$2), "EXPIRED", IF(AND((B31-'Nurse Grid Dashboard'!$B$2)&gt;0, (B31-'Nurse Grid Dashboard'!$B$2)&lt;=90), "EXPIRES SOON", "GOOD STANDING")))</f>
        <v/>
      </c>
      <c r="D31" s="55"/>
      <c r="E31" s="60"/>
      <c r="F31" s="60"/>
      <c r="G31" s="79"/>
    </row>
    <row r="32" spans="1:17" ht="15.75" x14ac:dyDescent="0.25">
      <c r="A32" s="91"/>
      <c r="B32" s="93"/>
      <c r="C32" s="69" t="str">
        <f>IF(ISBLANK(B32), "", IF(0&gt;=(B32-'Nurse Grid Dashboard'!$B$2), "EXPIRED", IF(AND((B32-'Nurse Grid Dashboard'!$B$2)&gt;0, (B32-'Nurse Grid Dashboard'!$B$2)&lt;=90), "EXPIRES SOON", "GOOD STANDING")))</f>
        <v/>
      </c>
      <c r="D32" s="55"/>
      <c r="E32" s="60"/>
      <c r="F32" s="60"/>
      <c r="G32" s="79"/>
    </row>
    <row r="33" spans="1:7" ht="15.75" x14ac:dyDescent="0.25">
      <c r="A33" s="91"/>
      <c r="B33" s="93"/>
      <c r="C33" s="69" t="str">
        <f>IF(ISBLANK(B33), "", IF(0&gt;=(B33-'Nurse Grid Dashboard'!$B$2), "EXPIRED", IF(AND((B33-'Nurse Grid Dashboard'!$B$2)&gt;0, (B33-'Nurse Grid Dashboard'!$B$2)&lt;=90), "EXPIRES SOON", "GOOD STANDING")))</f>
        <v/>
      </c>
      <c r="D33" s="55"/>
      <c r="E33" s="60"/>
      <c r="F33" s="60"/>
      <c r="G33" s="79"/>
    </row>
    <row r="34" spans="1:7" ht="15.75" x14ac:dyDescent="0.25">
      <c r="A34" s="71"/>
      <c r="B34" s="54"/>
      <c r="C34" s="69" t="str">
        <f>IF(ISBLANK(B34), "", IF(0&gt;=(B34-'Nurse Grid Dashboard'!$B$2), "EXPIRED", IF(AND((B34-'Nurse Grid Dashboard'!$B$2)&gt;0, (B34-'Nurse Grid Dashboard'!$B$2)&lt;=90), "EXPIRES SOON", "GOOD STANDING")))</f>
        <v/>
      </c>
      <c r="D34" s="55"/>
      <c r="E34" s="60"/>
      <c r="F34" s="60"/>
      <c r="G34" s="70"/>
    </row>
    <row r="35" spans="1:7" ht="15.75" x14ac:dyDescent="0.25">
      <c r="A35" s="71"/>
      <c r="B35" s="54"/>
      <c r="C35" s="69" t="str">
        <f>IF(ISBLANK(B35), "", IF(0&gt;=(B35-'Nurse Grid Dashboard'!$B$2), "EXPIRED", IF(AND((B35-'Nurse Grid Dashboard'!$B$2)&gt;0, (B35-'Nurse Grid Dashboard'!$B$2)&lt;=90), "EXPIRES SOON", "GOOD STANDING")))</f>
        <v/>
      </c>
      <c r="D35" s="55"/>
      <c r="E35" s="60"/>
      <c r="F35" s="60"/>
      <c r="G35" s="70"/>
    </row>
    <row r="36" spans="1:7" ht="15.75" x14ac:dyDescent="0.25">
      <c r="A36" s="71"/>
      <c r="B36" s="54"/>
      <c r="C36" s="69" t="str">
        <f>IF(ISBLANK(B36), "", IF(0&gt;=(B36-'Nurse Grid Dashboard'!$B$2), "EXPIRED", IF(AND((B36-'Nurse Grid Dashboard'!$B$2)&gt;0, (B36-'Nurse Grid Dashboard'!$B$2)&lt;=90), "EXPIRES SOON", "GOOD STANDING")))</f>
        <v/>
      </c>
      <c r="D36" s="55"/>
      <c r="E36" s="60"/>
      <c r="F36" s="60"/>
      <c r="G36" s="70"/>
    </row>
    <row r="37" spans="1:7" ht="15.75" x14ac:dyDescent="0.25">
      <c r="A37" s="71"/>
      <c r="B37" s="54"/>
      <c r="C37" s="69" t="str">
        <f>IF(ISBLANK(B37), "", IF(0&gt;=(B37-'Nurse Grid Dashboard'!$B$2), "EXPIRED", IF(AND((B37-'Nurse Grid Dashboard'!$B$2)&gt;0, (B37-'Nurse Grid Dashboard'!$B$2)&lt;=90), "EXPIRES SOON", "GOOD STANDING")))</f>
        <v/>
      </c>
      <c r="D37" s="55"/>
      <c r="E37" s="60"/>
      <c r="F37" s="60"/>
      <c r="G37" s="70"/>
    </row>
    <row r="38" spans="1:7" ht="15.75" x14ac:dyDescent="0.25">
      <c r="A38" s="71"/>
      <c r="B38" s="54"/>
      <c r="C38" s="69" t="str">
        <f>IF(ISBLANK(B38), "", IF(0&gt;=(B38-'Nurse Grid Dashboard'!$B$2), "EXPIRED", IF(AND((B38-'Nurse Grid Dashboard'!$B$2)&gt;0, (B38-'Nurse Grid Dashboard'!$B$2)&lt;=90), "EXPIRES SOON", "GOOD STANDING")))</f>
        <v/>
      </c>
      <c r="D38" s="55"/>
      <c r="E38" s="60"/>
      <c r="F38" s="60"/>
      <c r="G38" s="70"/>
    </row>
    <row r="39" spans="1:7" ht="15.75" x14ac:dyDescent="0.25">
      <c r="A39" s="71"/>
      <c r="B39" s="54"/>
      <c r="C39" s="69" t="str">
        <f>IF(ISBLANK(B39), "", IF(0&gt;=(B39-'Nurse Grid Dashboard'!$B$2), "EXPIRED", IF(AND((B39-'Nurse Grid Dashboard'!$B$2)&gt;0, (B39-'Nurse Grid Dashboard'!$B$2)&lt;=90), "EXPIRES SOON", "GOOD STANDING")))</f>
        <v/>
      </c>
      <c r="D39" s="55"/>
      <c r="E39" s="60"/>
      <c r="F39" s="60"/>
      <c r="G39" s="70"/>
    </row>
    <row r="40" spans="1:7" ht="15.75" x14ac:dyDescent="0.25">
      <c r="A40" s="71"/>
      <c r="B40" s="54"/>
      <c r="C40" s="69" t="str">
        <f>IF(ISBLANK(B40), "", IF(0&gt;=(B40-'Nurse Grid Dashboard'!$B$2), "EXPIRED", IF(AND((B40-'Nurse Grid Dashboard'!$B$2)&gt;0, (B40-'Nurse Grid Dashboard'!$B$2)&lt;=90), "EXPIRES SOON", "GOOD STANDING")))</f>
        <v/>
      </c>
      <c r="D40" s="55"/>
      <c r="E40" s="60"/>
      <c r="F40" s="60"/>
      <c r="G40" s="70"/>
    </row>
    <row r="41" spans="1:7" ht="15.75" x14ac:dyDescent="0.25">
      <c r="A41" s="71"/>
      <c r="B41" s="54"/>
      <c r="C41" s="69" t="str">
        <f>IF(ISBLANK(B41), "", IF(0&gt;=(B41-'Nurse Grid Dashboard'!$B$2), "EXPIRED", IF(AND((B41-'Nurse Grid Dashboard'!$B$2)&gt;0, (B41-'Nurse Grid Dashboard'!$B$2)&lt;=90), "EXPIRES SOON", "GOOD STANDING")))</f>
        <v/>
      </c>
      <c r="D41" s="55"/>
      <c r="E41" s="60"/>
      <c r="F41" s="60"/>
      <c r="G41" s="70"/>
    </row>
    <row r="42" spans="1:7" ht="15.75" x14ac:dyDescent="0.25">
      <c r="A42" s="71"/>
      <c r="B42" s="54"/>
      <c r="C42" s="69" t="str">
        <f>IF(ISBLANK(B42), "", IF(0&gt;=(B42-'Nurse Grid Dashboard'!$B$2), "EXPIRED", IF(AND((B42-'Nurse Grid Dashboard'!$B$2)&gt;0, (B42-'Nurse Grid Dashboard'!$B$2)&lt;=90), "EXPIRES SOON", "GOOD STANDING")))</f>
        <v/>
      </c>
      <c r="D42" s="55"/>
      <c r="E42" s="60"/>
      <c r="F42" s="60"/>
      <c r="G42" s="70"/>
    </row>
    <row r="43" spans="1:7" ht="15.75" x14ac:dyDescent="0.25">
      <c r="A43" s="71"/>
      <c r="B43" s="54"/>
      <c r="C43" s="69" t="str">
        <f>IF(ISBLANK(B43), "", IF(0&gt;=(B43-'Nurse Grid Dashboard'!$B$2), "EXPIRED", IF(AND((B43-'Nurse Grid Dashboard'!$B$2)&gt;0, (B43-'Nurse Grid Dashboard'!$B$2)&lt;=90), "EXPIRES SOON", "GOOD STANDING")))</f>
        <v/>
      </c>
      <c r="D43" s="55"/>
      <c r="E43" s="60"/>
      <c r="F43" s="60"/>
      <c r="G43" s="70"/>
    </row>
    <row r="44" spans="1:7" ht="15.75" x14ac:dyDescent="0.25">
      <c r="A44" s="71"/>
      <c r="B44" s="54"/>
      <c r="C44" s="69" t="str">
        <f>IF(ISBLANK(B44), "", IF(0&gt;=(B44-'Nurse Grid Dashboard'!$B$2), "EXPIRED", IF(AND((B44-'Nurse Grid Dashboard'!$B$2)&gt;0, (B44-'Nurse Grid Dashboard'!$B$2)&lt;=90), "EXPIRES SOON", "GOOD STANDING")))</f>
        <v/>
      </c>
      <c r="D44" s="55"/>
      <c r="E44" s="60"/>
      <c r="F44" s="60"/>
      <c r="G44" s="70"/>
    </row>
    <row r="45" spans="1:7" ht="15.75" x14ac:dyDescent="0.25">
      <c r="A45" s="71"/>
      <c r="B45" s="54"/>
      <c r="C45" s="69" t="str">
        <f>IF(ISBLANK(B45), "", IF(0&gt;=(B45-'Nurse Grid Dashboard'!$B$2), "EXPIRED", IF(AND((B45-'Nurse Grid Dashboard'!$B$2)&gt;0, (B45-'Nurse Grid Dashboard'!$B$2)&lt;=90), "EXPIRES SOON", "GOOD STANDING")))</f>
        <v/>
      </c>
      <c r="D45" s="55"/>
      <c r="E45" s="60"/>
      <c r="F45" s="60"/>
      <c r="G45" s="70"/>
    </row>
    <row r="46" spans="1:7" ht="15.75" x14ac:dyDescent="0.25">
      <c r="A46" s="71"/>
      <c r="B46" s="54"/>
      <c r="C46" s="69" t="str">
        <f>IF(ISBLANK(B46), "", IF(0&gt;=(B46-'Nurse Grid Dashboard'!$B$2), "EXPIRED", IF(AND((B46-'Nurse Grid Dashboard'!$B$2)&gt;0, (B46-'Nurse Grid Dashboard'!$B$2)&lt;=90), "EXPIRES SOON", "GOOD STANDING")))</f>
        <v/>
      </c>
      <c r="D46" s="55"/>
      <c r="E46" s="60"/>
      <c r="F46" s="60"/>
      <c r="G46" s="70"/>
    </row>
    <row r="47" spans="1:7" ht="15.75" x14ac:dyDescent="0.25">
      <c r="A47" s="71"/>
      <c r="B47" s="54"/>
      <c r="C47" s="69" t="str">
        <f>IF(ISBLANK(B47), "", IF(0&gt;=(B47-'Nurse Grid Dashboard'!$B$2), "EXPIRED", IF(AND((B47-'Nurse Grid Dashboard'!$B$2)&gt;0, (B47-'Nurse Grid Dashboard'!$B$2)&lt;=90), "EXPIRES SOON", "GOOD STANDING")))</f>
        <v/>
      </c>
      <c r="D47" s="55"/>
      <c r="E47" s="60"/>
      <c r="F47" s="60"/>
      <c r="G47" s="70"/>
    </row>
    <row r="48" spans="1:7" ht="15.75" x14ac:dyDescent="0.25">
      <c r="A48" s="71"/>
      <c r="B48" s="54"/>
      <c r="C48" s="69" t="str">
        <f>IF(ISBLANK(B48), "", IF(0&gt;=(B48-'Nurse Grid Dashboard'!$B$2), "EXPIRED", IF(AND((B48-'Nurse Grid Dashboard'!$B$2)&gt;0, (B48-'Nurse Grid Dashboard'!$B$2)&lt;=90), "EXPIRES SOON", "GOOD STANDING")))</f>
        <v/>
      </c>
      <c r="D48" s="55"/>
      <c r="E48" s="60"/>
      <c r="F48" s="60"/>
      <c r="G48" s="70"/>
    </row>
    <row r="49" spans="1:7" ht="15.75" x14ac:dyDescent="0.25">
      <c r="A49" s="71"/>
      <c r="B49" s="54"/>
      <c r="C49" s="69" t="str">
        <f>IF(ISBLANK(B49), "", IF(0&gt;=(B49-'Nurse Grid Dashboard'!$B$2), "EXPIRED", IF(AND((B49-'Nurse Grid Dashboard'!$B$2)&gt;0, (B49-'Nurse Grid Dashboard'!$B$2)&lt;=90), "EXPIRES SOON", "GOOD STANDING")))</f>
        <v/>
      </c>
      <c r="D49" s="55"/>
      <c r="E49" s="60"/>
      <c r="F49" s="60"/>
      <c r="G49" s="70"/>
    </row>
    <row r="50" spans="1:7" ht="15.75" x14ac:dyDescent="0.25">
      <c r="A50" s="71"/>
      <c r="B50" s="54"/>
      <c r="C50" s="69" t="str">
        <f>IF(ISBLANK(B50), "", IF(0&gt;=(B50-'Nurse Grid Dashboard'!$B$2), "EXPIRED", IF(AND((B50-'Nurse Grid Dashboard'!$B$2)&gt;0, (B50-'Nurse Grid Dashboard'!$B$2)&lt;=90), "EXPIRES SOON", "GOOD STANDING")))</f>
        <v/>
      </c>
      <c r="D50" s="55"/>
      <c r="E50" s="60"/>
      <c r="F50" s="60"/>
      <c r="G50" s="70"/>
    </row>
    <row r="51" spans="1:7" ht="15.75" x14ac:dyDescent="0.25">
      <c r="A51" s="71"/>
      <c r="B51" s="54"/>
      <c r="C51" s="69" t="str">
        <f>IF(ISBLANK(B51), "", IF(0&gt;=(B51-'Nurse Grid Dashboard'!$B$2), "EXPIRED", IF(AND((B51-'Nurse Grid Dashboard'!$B$2)&gt;0, (B51-'Nurse Grid Dashboard'!$B$2)&lt;=90), "EXPIRES SOON", "GOOD STANDING")))</f>
        <v/>
      </c>
      <c r="D51" s="55"/>
      <c r="E51" s="60"/>
      <c r="F51" s="60"/>
      <c r="G51" s="70"/>
    </row>
    <row r="52" spans="1:7" ht="15.75" x14ac:dyDescent="0.25">
      <c r="A52" s="71"/>
      <c r="B52" s="54"/>
      <c r="C52" s="69" t="str">
        <f>IF(ISBLANK(B52), "", IF(0&gt;=(B52-'Nurse Grid Dashboard'!$B$2), "EXPIRED", IF(AND((B52-'Nurse Grid Dashboard'!$B$2)&gt;0, (B52-'Nurse Grid Dashboard'!$B$2)&lt;=90), "EXPIRES SOON", "GOOD STANDING")))</f>
        <v/>
      </c>
      <c r="D52" s="55"/>
      <c r="E52" s="60"/>
      <c r="F52" s="60"/>
      <c r="G52" s="70"/>
    </row>
    <row r="53" spans="1:7" ht="15.75" x14ac:dyDescent="0.25">
      <c r="A53" s="71"/>
      <c r="B53" s="54"/>
      <c r="C53" s="69" t="str">
        <f>IF(ISBLANK(B53), "", IF(0&gt;=(B53-'Nurse Grid Dashboard'!$B$2), "EXPIRED", IF(AND((B53-'Nurse Grid Dashboard'!$B$2)&gt;0, (B53-'Nurse Grid Dashboard'!$B$2)&lt;=90), "EXPIRES SOON", "GOOD STANDING")))</f>
        <v/>
      </c>
      <c r="D53" s="55"/>
      <c r="E53" s="60"/>
      <c r="F53" s="60"/>
      <c r="G53" s="70"/>
    </row>
    <row r="54" spans="1:7" ht="15.75" x14ac:dyDescent="0.25">
      <c r="A54" s="71"/>
      <c r="B54" s="54"/>
      <c r="C54" s="69" t="str">
        <f>IF(ISBLANK(B54), "", IF(0&gt;=(B54-'Nurse Grid Dashboard'!$B$2), "EXPIRED", IF(AND((B54-'Nurse Grid Dashboard'!$B$2)&gt;0, (B54-'Nurse Grid Dashboard'!$B$2)&lt;=90), "EXPIRES SOON", "GOOD STANDING")))</f>
        <v/>
      </c>
      <c r="D54" s="55"/>
      <c r="E54" s="60"/>
      <c r="F54" s="60"/>
      <c r="G54" s="70"/>
    </row>
    <row r="55" spans="1:7" ht="15.75" x14ac:dyDescent="0.25">
      <c r="A55" s="71"/>
      <c r="B55" s="54"/>
      <c r="C55" s="69" t="str">
        <f>IF(ISBLANK(B55), "", IF(0&gt;=(B55-'Nurse Grid Dashboard'!$B$2), "EXPIRED", IF(AND((B55-'Nurse Grid Dashboard'!$B$2)&gt;0, (B55-'Nurse Grid Dashboard'!$B$2)&lt;=90), "EXPIRES SOON", "GOOD STANDING")))</f>
        <v/>
      </c>
      <c r="D55" s="55"/>
      <c r="E55" s="60"/>
      <c r="F55" s="60"/>
      <c r="G55" s="70"/>
    </row>
    <row r="56" spans="1:7" ht="15.75" x14ac:dyDescent="0.25">
      <c r="A56" s="71"/>
      <c r="B56" s="54"/>
      <c r="C56" s="69" t="str">
        <f>IF(ISBLANK(B56), "", IF(0&gt;=(B56-'Nurse Grid Dashboard'!$B$2), "EXPIRED", IF(AND((B56-'Nurse Grid Dashboard'!$B$2)&gt;0, (B56-'Nurse Grid Dashboard'!$B$2)&lt;=90), "EXPIRES SOON", "GOOD STANDING")))</f>
        <v/>
      </c>
      <c r="D56" s="55"/>
      <c r="E56" s="60"/>
      <c r="F56" s="60"/>
      <c r="G56" s="70"/>
    </row>
    <row r="57" spans="1:7" ht="16.5" thickBot="1" x14ac:dyDescent="0.3">
      <c r="A57" s="72"/>
      <c r="B57" s="73"/>
      <c r="C57" s="78" t="str">
        <f>IF(ISBLANK(B57), "", IF(0&gt;=(B57-'Nurse Grid Dashboard'!$B$2), "EXPIRED", IF(AND((B57-'Nurse Grid Dashboard'!$B$2)&gt;0, (B57-'Nurse Grid Dashboard'!$B$2)&lt;=90), "EXPIRES SOON", "GOOD STANDING")))</f>
        <v/>
      </c>
      <c r="D57" s="74"/>
      <c r="E57" s="75"/>
      <c r="F57" s="75"/>
      <c r="G57" s="76"/>
    </row>
  </sheetData>
  <mergeCells count="13">
    <mergeCell ref="G1:G2"/>
    <mergeCell ref="K10:L10"/>
    <mergeCell ref="J1:L1"/>
    <mergeCell ref="B1:C1"/>
    <mergeCell ref="D1:F1"/>
    <mergeCell ref="J5:L5"/>
    <mergeCell ref="K6:L6"/>
    <mergeCell ref="K11:L11"/>
    <mergeCell ref="K12:L12"/>
    <mergeCell ref="K13:L13"/>
    <mergeCell ref="K7:L7"/>
    <mergeCell ref="K8:L8"/>
    <mergeCell ref="K9:L9"/>
  </mergeCells>
  <conditionalFormatting sqref="C3:C57">
    <cfRule type="containsText" dxfId="155" priority="33" operator="containsText" text="EXPIRED">
      <formula>NOT(ISERROR(SEARCH("EXPIRED",C3)))</formula>
    </cfRule>
    <cfRule type="containsText" dxfId="154" priority="34" operator="containsText" text="GOOD STANDING">
      <formula>NOT(ISERROR(SEARCH("GOOD STANDING",C3)))</formula>
    </cfRule>
    <cfRule type="containsText" dxfId="153" priority="35" operator="containsText" text="EXPIRED">
      <formula>NOT(ISERROR(SEARCH("EXPIRED",C3)))</formula>
    </cfRule>
    <cfRule type="containsText" dxfId="152" priority="36" operator="containsText" text="EXPIRED">
      <formula>NOT(ISERROR(SEARCH("EXPIRED",C3)))</formula>
    </cfRule>
    <cfRule type="containsText" dxfId="151" priority="37" operator="containsText" text="EXPIRED">
      <formula>NOT(ISERROR(SEARCH("EXPIRED",C3)))</formula>
    </cfRule>
    <cfRule type="containsText" dxfId="150" priority="38" operator="containsText" text="EXPIRES SOON">
      <formula>NOT(ISERROR(SEARCH("EXPIRES SOON",C3)))</formula>
    </cfRule>
    <cfRule type="containsText" dxfId="149" priority="39" operator="containsText" text="GOOD STANDING">
      <formula>NOT(ISERROR(SEARCH("GOOD STANDING",C3)))</formula>
    </cfRule>
    <cfRule type="containsText" dxfId="148" priority="46" operator="containsText" text="EXPIRES SOON">
      <formula>NOT(ISERROR(SEARCH("EXPIRES SOON",C3)))</formula>
    </cfRule>
  </conditionalFormatting>
  <conditionalFormatting sqref="C14">
    <cfRule type="containsText" dxfId="147" priority="40" operator="containsText" text="GOOD STANDING">
      <formula>NOT(ISERROR(SEARCH("GOOD STANDING",C14)))</formula>
    </cfRule>
    <cfRule type="containsText" dxfId="146" priority="41" operator="containsText" text="GOOD$C$14">
      <formula>NOT(ISERROR(SEARCH("GOOD$C$14",C14)))</formula>
    </cfRule>
    <cfRule type="containsText" dxfId="145" priority="42" operator="containsText" text="GOOD$14:$14 STANDING">
      <formula>NOT(ISERROR(SEARCH("GOOD$14:$14 STANDING",C14)))</formula>
    </cfRule>
    <cfRule type="cellIs" dxfId="144" priority="43" operator="equal">
      <formula>"'GOOD STANDING"</formula>
    </cfRule>
  </conditionalFormatting>
  <hyperlinks>
    <hyperlink ref="K6" r:id="rId1" display="davidpeterkramer@outlook.com" xr:uid="{38F56480-5B57-4F0A-A80B-90A9A7088BEB}"/>
    <hyperlink ref="K7" r:id="rId2" display="rileyanne1@ec.rr.com" xr:uid="{9BA7DFEA-2193-4404-BC45-270D4DB5024F}"/>
    <hyperlink ref="G3" r:id="rId3" xr:uid="{50EF792E-D648-4A18-A7CD-AB234C9178DD}"/>
  </hyperlink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A488D-2231-4377-9893-FB52E6E69656}">
  <sheetPr codeName="Sheet3"/>
  <dimension ref="A1:Q57"/>
  <sheetViews>
    <sheetView zoomScaleNormal="100" workbookViewId="0">
      <selection activeCell="K7" sqref="K7:L7"/>
    </sheetView>
  </sheetViews>
  <sheetFormatPr defaultRowHeight="15" x14ac:dyDescent="0.25"/>
  <cols>
    <col min="1" max="1" width="28.28515625" customWidth="1"/>
    <col min="2" max="2" width="17.28515625" customWidth="1"/>
    <col min="3" max="3" width="23.28515625" customWidth="1"/>
    <col min="4" max="5" width="8.7109375" style="53" customWidth="1"/>
    <col min="6" max="6" width="8.85546875" style="53" customWidth="1"/>
    <col min="7" max="7" width="33.5703125" style="53" customWidth="1"/>
    <col min="8" max="9" width="9.42578125" style="53" customWidth="1"/>
    <col min="10" max="10" width="16.28515625" bestFit="1" customWidth="1"/>
    <col min="11" max="11" width="17.140625" customWidth="1"/>
    <col min="12" max="12" width="17.7109375" customWidth="1"/>
  </cols>
  <sheetData>
    <row r="1" spans="1:17" ht="23.65" customHeight="1" thickBot="1" x14ac:dyDescent="0.35">
      <c r="A1" s="64" t="s">
        <v>12</v>
      </c>
      <c r="B1" s="159" t="s">
        <v>19</v>
      </c>
      <c r="C1" s="160"/>
      <c r="D1" s="161" t="s">
        <v>22</v>
      </c>
      <c r="E1" s="162"/>
      <c r="F1" s="163"/>
      <c r="G1" s="154" t="s">
        <v>33</v>
      </c>
      <c r="J1" s="156" t="s">
        <v>26</v>
      </c>
      <c r="K1" s="157"/>
      <c r="L1" s="158"/>
    </row>
    <row r="2" spans="1:17" ht="19.5" thickBot="1" x14ac:dyDescent="0.35">
      <c r="A2" s="94" t="s">
        <v>4</v>
      </c>
      <c r="B2" s="65" t="s">
        <v>0</v>
      </c>
      <c r="C2" s="61" t="s">
        <v>5</v>
      </c>
      <c r="D2" s="66" t="s">
        <v>23</v>
      </c>
      <c r="E2" s="67" t="s">
        <v>24</v>
      </c>
      <c r="F2" s="68" t="s">
        <v>25</v>
      </c>
      <c r="G2" s="155"/>
      <c r="J2" s="84" t="s">
        <v>27</v>
      </c>
      <c r="K2" s="87" t="s">
        <v>28</v>
      </c>
      <c r="L2" s="85" t="s">
        <v>29</v>
      </c>
    </row>
    <row r="3" spans="1:17" ht="15.75" thickBot="1" x14ac:dyDescent="0.3">
      <c r="A3" s="95" t="s">
        <v>51</v>
      </c>
      <c r="B3" s="92">
        <v>45626</v>
      </c>
      <c r="C3" s="69" t="str">
        <f ca="1">IF(ISBLANK(B3), "", IF(0&gt;=(B3-'Nurse Grid Dashboard'!$B$2), "EXPIRED", IF(AND((B3-'Nurse Grid Dashboard'!$B$2)&gt;0, (B3-'Nurse Grid Dashboard'!$B$2)&lt;=90), "EXPIRES SOON", "GOOD STANDING")))</f>
        <v>EXPIRED</v>
      </c>
      <c r="D3" s="56"/>
      <c r="E3" s="59"/>
      <c r="F3" s="60"/>
      <c r="G3" s="80" t="s">
        <v>34</v>
      </c>
      <c r="J3" s="82">
        <f ca="1">COUNTIF(C3:C57, "*good standing*")</f>
        <v>0</v>
      </c>
      <c r="K3" s="86">
        <f ca="1">COUNTIF(C3:C57, "*expires soon*")</f>
        <v>0</v>
      </c>
      <c r="L3" s="83">
        <f ca="1">COUNTIF(C3:C57, "*expired*")</f>
        <v>1</v>
      </c>
    </row>
    <row r="4" spans="1:17" ht="15.75" thickBot="1" x14ac:dyDescent="0.3">
      <c r="A4" s="95"/>
      <c r="B4" s="96"/>
      <c r="C4" s="69" t="str">
        <f>IF(ISBLANK(B4), "", IF(0&gt;=(B4-'Nurse Grid Dashboard'!$B$2), "EXPIRED", IF(AND((B4-'Nurse Grid Dashboard'!$B$2)&gt;0, (B4-'Nurse Grid Dashboard'!$B$2)&lt;=90), "EXPIRES SOON", "GOOD STANDING")))</f>
        <v/>
      </c>
      <c r="D4" s="55"/>
      <c r="E4" s="60"/>
      <c r="F4" s="60"/>
      <c r="G4" s="79"/>
    </row>
    <row r="5" spans="1:17" ht="18.75" x14ac:dyDescent="0.3">
      <c r="A5" s="95"/>
      <c r="B5" s="96"/>
      <c r="C5" s="69" t="str">
        <f>IF(ISBLANK(B5), "", IF(0&gt;=(B5-'Nurse Grid Dashboard'!$B$2), "EXPIRED", IF(AND((B5-'Nurse Grid Dashboard'!$B$2)&gt;0, (B5-'Nurse Grid Dashboard'!$B$2)&lt;=90), "EXPIRES SOON", "GOOD STANDING")))</f>
        <v/>
      </c>
      <c r="D5" s="55"/>
      <c r="E5" s="60"/>
      <c r="F5" s="60"/>
      <c r="G5" s="79"/>
      <c r="J5" s="164" t="s">
        <v>30</v>
      </c>
      <c r="K5" s="165"/>
      <c r="L5" s="166"/>
    </row>
    <row r="6" spans="1:17" x14ac:dyDescent="0.25">
      <c r="A6" s="95"/>
      <c r="B6" s="93"/>
      <c r="C6" s="69" t="str">
        <f>IF(ISBLANK(B6), "", IF(0&gt;=(B6-'Nurse Grid Dashboard'!$B$2), "EXPIRED", IF(AND((B6-'Nurse Grid Dashboard'!$B$2)&gt;0, (B6-'Nurse Grid Dashboard'!$B$2)&lt;=90), "EXPIRES SOON", "GOOD STANDING")))</f>
        <v/>
      </c>
      <c r="D6" s="55"/>
      <c r="E6" s="60"/>
      <c r="F6" s="60"/>
      <c r="G6" s="79"/>
      <c r="J6" s="81" t="s">
        <v>31</v>
      </c>
      <c r="K6" s="152" t="s">
        <v>34</v>
      </c>
      <c r="L6" s="153"/>
    </row>
    <row r="7" spans="1:17" x14ac:dyDescent="0.25">
      <c r="A7" s="95"/>
      <c r="B7" s="96"/>
      <c r="C7" s="69" t="str">
        <f>IF(ISBLANK(B7), "", IF(0&gt;=(B7-'Nurse Grid Dashboard'!$B$2), "EXPIRED", IF(AND((B7-'Nurse Grid Dashboard'!$B$2)&gt;0, (B7-'Nurse Grid Dashboard'!$B$2)&lt;=90), "EXPIRES SOON", "GOOD STANDING")))</f>
        <v/>
      </c>
      <c r="D7" s="55"/>
      <c r="E7" s="60"/>
      <c r="F7" s="60"/>
      <c r="G7" s="79"/>
      <c r="J7" s="81" t="s">
        <v>32</v>
      </c>
      <c r="K7" s="152" t="s">
        <v>34</v>
      </c>
      <c r="L7" s="153"/>
    </row>
    <row r="8" spans="1:17" x14ac:dyDescent="0.25">
      <c r="A8" s="95"/>
      <c r="B8" s="93"/>
      <c r="C8" s="69" t="str">
        <f>IF(ISBLANK(B8), "", IF(0&gt;=(B8-'Nurse Grid Dashboard'!$B$2), "EXPIRED", IF(AND((B8-'Nurse Grid Dashboard'!$B$2)&gt;0, (B8-'Nurse Grid Dashboard'!$B$2)&lt;=90), "EXPIRES SOON", "GOOD STANDING")))</f>
        <v/>
      </c>
      <c r="D8" s="55"/>
      <c r="E8" s="60"/>
      <c r="F8" s="60"/>
      <c r="G8" s="79"/>
      <c r="J8" s="81" t="s">
        <v>35</v>
      </c>
      <c r="K8" s="148" t="s">
        <v>40</v>
      </c>
      <c r="L8" s="149"/>
    </row>
    <row r="9" spans="1:17" ht="15.75" x14ac:dyDescent="0.25">
      <c r="A9" s="91"/>
      <c r="B9" s="93"/>
      <c r="C9" s="69" t="str">
        <f>IF(ISBLANK(B9), "", IF(0&gt;=(B9-'Nurse Grid Dashboard'!$B$2), "EXPIRED", IF(AND((B9-'Nurse Grid Dashboard'!$B$2)&gt;0, (B9-'Nurse Grid Dashboard'!$B$2)&lt;=90), "EXPIRES SOON", "GOOD STANDING")))</f>
        <v/>
      </c>
      <c r="D9" s="55"/>
      <c r="E9" s="60"/>
      <c r="F9" s="60"/>
      <c r="G9" s="79"/>
      <c r="J9" s="81" t="s">
        <v>36</v>
      </c>
      <c r="K9" s="148" t="s">
        <v>41</v>
      </c>
      <c r="L9" s="149"/>
    </row>
    <row r="10" spans="1:17" ht="15.75" x14ac:dyDescent="0.25">
      <c r="A10" s="91"/>
      <c r="B10" s="93"/>
      <c r="C10" s="69" t="str">
        <f>IF(ISBLANK(B10), "", IF(0&gt;=(B10-'Nurse Grid Dashboard'!$B$2), "EXPIRED", IF(AND((B10-'Nurse Grid Dashboard'!$B$2)&gt;0, (B10-'Nurse Grid Dashboard'!$B$2)&lt;=90), "EXPIRES SOON", "GOOD STANDING")))</f>
        <v/>
      </c>
      <c r="D10" s="55"/>
      <c r="E10" s="60"/>
      <c r="F10" s="60"/>
      <c r="G10" s="79"/>
      <c r="J10" s="81" t="s">
        <v>39</v>
      </c>
      <c r="K10" s="148" t="s">
        <v>42</v>
      </c>
      <c r="L10" s="149"/>
    </row>
    <row r="11" spans="1:17" ht="15.6" customHeight="1" x14ac:dyDescent="0.25">
      <c r="A11" s="91"/>
      <c r="B11" s="93"/>
      <c r="C11" s="69" t="str">
        <f>IF(ISBLANK(B11), "", IF(0&gt;=(B11-'Nurse Grid Dashboard'!$B$2), "EXPIRED", IF(AND((B11-'Nurse Grid Dashboard'!$B$2)&gt;0, (B11-'Nurse Grid Dashboard'!$B$2)&lt;=90), "EXPIRES SOON", "GOOD STANDING")))</f>
        <v/>
      </c>
      <c r="D11" s="55"/>
      <c r="E11" s="60"/>
      <c r="F11" s="60"/>
      <c r="G11" s="79"/>
      <c r="H11" s="62"/>
      <c r="I11" s="62"/>
      <c r="J11" s="81" t="s">
        <v>37</v>
      </c>
      <c r="K11" s="148" t="s">
        <v>43</v>
      </c>
      <c r="L11" s="149"/>
      <c r="M11" s="57"/>
      <c r="N11" s="57"/>
      <c r="O11" s="57"/>
      <c r="P11" s="57"/>
      <c r="Q11" s="57"/>
    </row>
    <row r="12" spans="1:17" ht="15.75" x14ac:dyDescent="0.25">
      <c r="A12" s="91"/>
      <c r="B12" s="93"/>
      <c r="C12" s="69" t="str">
        <f>IF(ISBLANK(B12), "", IF(0&gt;=(B12-'Nurse Grid Dashboard'!$B$2), "EXPIRED", IF(AND((B12-'Nurse Grid Dashboard'!$B$2)&gt;0, (B12-'Nurse Grid Dashboard'!$B$2)&lt;=90), "EXPIRES SOON", "GOOD STANDING")))</f>
        <v/>
      </c>
      <c r="D12" s="55"/>
      <c r="E12" s="60"/>
      <c r="F12" s="60"/>
      <c r="G12" s="79"/>
      <c r="H12" s="62"/>
      <c r="I12" s="62"/>
      <c r="J12" s="88" t="s">
        <v>38</v>
      </c>
      <c r="K12" s="148" t="s">
        <v>44</v>
      </c>
      <c r="L12" s="149"/>
      <c r="M12" s="57"/>
      <c r="N12" s="57"/>
      <c r="O12" s="57"/>
      <c r="P12" s="57"/>
      <c r="Q12" s="57"/>
    </row>
    <row r="13" spans="1:17" ht="16.5" thickBot="1" x14ac:dyDescent="0.3">
      <c r="A13" s="91"/>
      <c r="B13" s="93"/>
      <c r="C13" s="69" t="str">
        <f>IF(ISBLANK(B13), "", IF(0&gt;=(B13-'Nurse Grid Dashboard'!$B$2), "EXPIRED", IF(AND((B13-'Nurse Grid Dashboard'!$B$2)&gt;0, (B13-'Nurse Grid Dashboard'!$B$2)&lt;=90), "EXPIRES SOON", "GOOD STANDING")))</f>
        <v/>
      </c>
      <c r="D13" s="55"/>
      <c r="E13" s="60"/>
      <c r="F13" s="60"/>
      <c r="G13" s="79"/>
      <c r="H13" s="62"/>
      <c r="I13" s="62"/>
      <c r="J13" s="89" t="s">
        <v>46</v>
      </c>
      <c r="K13" s="150" t="s">
        <v>45</v>
      </c>
      <c r="L13" s="151"/>
      <c r="M13" s="57"/>
      <c r="N13" s="57"/>
      <c r="O13" s="57"/>
      <c r="P13" s="57"/>
      <c r="Q13" s="57"/>
    </row>
    <row r="14" spans="1:17" ht="15.75" x14ac:dyDescent="0.25">
      <c r="A14" s="91"/>
      <c r="B14" s="93"/>
      <c r="C14" s="69" t="str">
        <f>IF(ISBLANK(B14), "", IF(0&gt;=(B14-'Nurse Grid Dashboard'!$B$2), "EXPIRED", IF(AND((B14-'Nurse Grid Dashboard'!$B$2)&gt;0, (B14-'Nurse Grid Dashboard'!$B$2)&lt;=90), "EXPIRES SOON", "GOOD STANDING")))</f>
        <v/>
      </c>
      <c r="D14" s="55"/>
      <c r="E14" s="60"/>
      <c r="F14" s="60"/>
      <c r="G14" s="79"/>
      <c r="H14" s="62"/>
      <c r="I14" s="62"/>
      <c r="J14" s="57"/>
      <c r="K14" s="57"/>
      <c r="L14" s="57"/>
      <c r="M14" s="57"/>
      <c r="N14" s="57"/>
      <c r="O14" s="57"/>
      <c r="P14" s="57"/>
      <c r="Q14" s="57"/>
    </row>
    <row r="15" spans="1:17" ht="15.75" x14ac:dyDescent="0.25">
      <c r="A15" s="91"/>
      <c r="B15" s="93"/>
      <c r="C15" s="69" t="str">
        <f>IF(ISBLANK(B15), "", IF(0&gt;=(B15-'Nurse Grid Dashboard'!$B$2), "EXPIRED", IF(AND((B15-'Nurse Grid Dashboard'!$B$2)&gt;0, (B15-'Nurse Grid Dashboard'!$B$2)&lt;=90), "EXPIRES SOON", "GOOD STANDING")))</f>
        <v/>
      </c>
      <c r="D15" s="55"/>
      <c r="E15" s="60"/>
      <c r="F15" s="60"/>
      <c r="G15" s="79"/>
    </row>
    <row r="16" spans="1:17" ht="15.75" x14ac:dyDescent="0.25">
      <c r="A16" s="91"/>
      <c r="B16" s="93"/>
      <c r="C16" s="69" t="str">
        <f>IF(ISBLANK(B16), "", IF(0&gt;=(B16-'Nurse Grid Dashboard'!$B$2), "EXPIRED", IF(AND((B16-'Nurse Grid Dashboard'!$B$2)&gt;0, (B16-'Nurse Grid Dashboard'!$B$2)&lt;=90), "EXPIRES SOON", "GOOD STANDING")))</f>
        <v/>
      </c>
      <c r="D16" s="55"/>
      <c r="E16" s="60"/>
      <c r="F16" s="60"/>
      <c r="G16" s="79"/>
    </row>
    <row r="17" spans="1:17" ht="15.75" x14ac:dyDescent="0.25">
      <c r="A17" s="91"/>
      <c r="B17" s="93"/>
      <c r="C17" s="69" t="str">
        <f>IF(ISBLANK(B17), "", IF(0&gt;=(B17-'Nurse Grid Dashboard'!$B$2), "EXPIRED", IF(AND((B17-'Nurse Grid Dashboard'!$B$2)&gt;0, (B17-'Nurse Grid Dashboard'!$B$2)&lt;=90), "EXPIRES SOON", "GOOD STANDING")))</f>
        <v/>
      </c>
      <c r="D17" s="55"/>
      <c r="E17" s="60"/>
      <c r="F17" s="60"/>
      <c r="G17" s="79"/>
    </row>
    <row r="18" spans="1:17" ht="15.75" x14ac:dyDescent="0.25">
      <c r="A18" s="91"/>
      <c r="B18" s="93"/>
      <c r="C18" s="69" t="str">
        <f>IF(ISBLANK(B18), "", IF(0&gt;=(B18-'Nurse Grid Dashboard'!$B$2), "EXPIRED", IF(AND((B18-'Nurse Grid Dashboard'!$B$2)&gt;0, (B18-'Nurse Grid Dashboard'!$B$2)&lt;=90), "EXPIRES SOON", "GOOD STANDING")))</f>
        <v/>
      </c>
      <c r="D18" s="55"/>
      <c r="E18" s="60"/>
      <c r="F18" s="60"/>
      <c r="G18" s="79"/>
    </row>
    <row r="19" spans="1:17" ht="15.75" x14ac:dyDescent="0.25">
      <c r="A19" s="91"/>
      <c r="B19" s="93"/>
      <c r="C19" s="69" t="str">
        <f>IF(ISBLANK(B19), "", IF(0&gt;=(B19-'Nurse Grid Dashboard'!$B$2), "EXPIRED", IF(AND((B19-'Nurse Grid Dashboard'!$B$2)&gt;0, (B19-'Nurse Grid Dashboard'!$B$2)&lt;=90), "EXPIRES SOON", "GOOD STANDING")))</f>
        <v/>
      </c>
      <c r="D19" s="55"/>
      <c r="E19" s="60"/>
      <c r="F19" s="60"/>
      <c r="G19" s="79"/>
    </row>
    <row r="20" spans="1:17" ht="15.75" x14ac:dyDescent="0.25">
      <c r="A20" s="91"/>
      <c r="B20" s="93"/>
      <c r="C20" s="69" t="str">
        <f>IF(ISBLANK(B20), "", IF(0&gt;=(B20-'Nurse Grid Dashboard'!$B$2), "EXPIRED", IF(AND((B20-'Nurse Grid Dashboard'!$B$2)&gt;0, (B20-'Nurse Grid Dashboard'!$B$2)&lt;=90), "EXPIRES SOON", "GOOD STANDING")))</f>
        <v/>
      </c>
      <c r="D20" s="55"/>
      <c r="E20" s="60"/>
      <c r="F20" s="77"/>
      <c r="G20" s="79"/>
      <c r="H20" s="63"/>
      <c r="I20" s="63"/>
      <c r="J20" s="58"/>
      <c r="K20" s="58"/>
      <c r="L20" s="58"/>
      <c r="M20" s="58"/>
      <c r="N20" s="58"/>
      <c r="O20" s="58"/>
      <c r="P20" s="58"/>
      <c r="Q20" s="58"/>
    </row>
    <row r="21" spans="1:17" ht="15.75" x14ac:dyDescent="0.25">
      <c r="A21" s="91"/>
      <c r="B21" s="93"/>
      <c r="C21" s="69" t="str">
        <f>IF(ISBLANK(B21), "", IF(0&gt;=(B21-'Nurse Grid Dashboard'!$B$2), "EXPIRED", IF(AND((B21-'Nurse Grid Dashboard'!$B$2)&gt;0, (B21-'Nurse Grid Dashboard'!$B$2)&lt;=90), "EXPIRES SOON", "GOOD STANDING")))</f>
        <v/>
      </c>
      <c r="D21" s="55"/>
      <c r="E21" s="60"/>
      <c r="F21" s="77"/>
      <c r="G21" s="79"/>
      <c r="H21" s="63"/>
      <c r="I21" s="63"/>
      <c r="J21" s="58"/>
      <c r="K21" s="58"/>
      <c r="L21" s="58"/>
      <c r="M21" s="58"/>
      <c r="N21" s="58"/>
      <c r="O21" s="58"/>
      <c r="P21" s="58"/>
      <c r="Q21" s="58"/>
    </row>
    <row r="22" spans="1:17" ht="15.75" x14ac:dyDescent="0.25">
      <c r="A22" s="91"/>
      <c r="B22" s="93"/>
      <c r="C22" s="69" t="str">
        <f>IF(ISBLANK(B22), "", IF(0&gt;=(B22-'Nurse Grid Dashboard'!$B$2), "EXPIRED", IF(AND((B22-'Nurse Grid Dashboard'!$B$2)&gt;0, (B22-'Nurse Grid Dashboard'!$B$2)&lt;=90), "EXPIRES SOON", "GOOD STANDING")))</f>
        <v/>
      </c>
      <c r="D22" s="55"/>
      <c r="E22" s="60"/>
      <c r="F22" s="77"/>
      <c r="G22" s="79"/>
      <c r="H22" s="63"/>
      <c r="I22" s="63"/>
      <c r="J22" s="58"/>
      <c r="K22" s="58"/>
      <c r="L22" s="58"/>
      <c r="M22" s="58"/>
      <c r="N22" s="58"/>
      <c r="O22" s="58"/>
      <c r="P22" s="58"/>
      <c r="Q22" s="58"/>
    </row>
    <row r="23" spans="1:17" ht="15.75" x14ac:dyDescent="0.25">
      <c r="A23" s="91"/>
      <c r="B23" s="93"/>
      <c r="C23" s="69" t="str">
        <f>IF(ISBLANK(B23), "", IF(0&gt;=(B23-'Nurse Grid Dashboard'!$B$2), "EXPIRED", IF(AND((B23-'Nurse Grid Dashboard'!$B$2)&gt;0, (B23-'Nurse Grid Dashboard'!$B$2)&lt;=90), "EXPIRES SOON", "GOOD STANDING")))</f>
        <v/>
      </c>
      <c r="D23" s="55"/>
      <c r="E23" s="60"/>
      <c r="F23" s="77"/>
      <c r="G23" s="79"/>
      <c r="H23" s="63"/>
      <c r="I23" s="63"/>
      <c r="J23" s="58"/>
      <c r="K23" s="58"/>
      <c r="L23" s="58"/>
      <c r="M23" s="58"/>
      <c r="N23" s="58"/>
      <c r="O23" s="58"/>
      <c r="P23" s="58"/>
      <c r="Q23" s="58"/>
    </row>
    <row r="24" spans="1:17" ht="15.75" x14ac:dyDescent="0.25">
      <c r="A24" s="91"/>
      <c r="B24" s="93"/>
      <c r="C24" s="69" t="str">
        <f>IF(ISBLANK(B24), "", IF(0&gt;=(B24-'Nurse Grid Dashboard'!$B$2), "EXPIRED", IF(AND((B24-'Nurse Grid Dashboard'!$B$2)&gt;0, (B24-'Nurse Grid Dashboard'!$B$2)&lt;=90), "EXPIRES SOON", "GOOD STANDING")))</f>
        <v/>
      </c>
      <c r="D24" s="55"/>
      <c r="E24" s="60"/>
      <c r="F24" s="60"/>
      <c r="G24" s="79"/>
    </row>
    <row r="25" spans="1:17" ht="15.75" x14ac:dyDescent="0.25">
      <c r="A25" s="91"/>
      <c r="B25" s="93"/>
      <c r="C25" s="69" t="str">
        <f>IF(ISBLANK(B25), "", IF(0&gt;=(B25-'Nurse Grid Dashboard'!$B$2), "EXPIRED", IF(AND((B25-'Nurse Grid Dashboard'!$B$2)&gt;0, (B25-'Nurse Grid Dashboard'!$B$2)&lt;=90), "EXPIRES SOON", "GOOD STANDING")))</f>
        <v/>
      </c>
      <c r="D25" s="55"/>
      <c r="E25" s="60"/>
      <c r="F25" s="60"/>
      <c r="G25" s="79"/>
    </row>
    <row r="26" spans="1:17" ht="15.75" x14ac:dyDescent="0.25">
      <c r="A26" s="91"/>
      <c r="B26" s="93"/>
      <c r="C26" s="69" t="str">
        <f>IF(ISBLANK(B26), "", IF(0&gt;=(B26-'Nurse Grid Dashboard'!$B$2), "EXPIRED", IF(AND((B26-'Nurse Grid Dashboard'!$B$2)&gt;0, (B26-'Nurse Grid Dashboard'!$B$2)&lt;=90), "EXPIRES SOON", "GOOD STANDING")))</f>
        <v/>
      </c>
      <c r="D26" s="55"/>
      <c r="E26" s="60"/>
      <c r="F26" s="60"/>
      <c r="G26" s="79"/>
    </row>
    <row r="27" spans="1:17" ht="15.75" x14ac:dyDescent="0.25">
      <c r="A27" s="91"/>
      <c r="B27" s="93"/>
      <c r="C27" s="69" t="str">
        <f>IF(ISBLANK(B27), "", IF(0&gt;=(B27-'Nurse Grid Dashboard'!$B$2), "EXPIRED", IF(AND((B27-'Nurse Grid Dashboard'!$B$2)&gt;0, (B27-'Nurse Grid Dashboard'!$B$2)&lt;=90), "EXPIRES SOON", "GOOD STANDING")))</f>
        <v/>
      </c>
      <c r="D27" s="55"/>
      <c r="E27" s="60"/>
      <c r="F27" s="60"/>
      <c r="G27" s="79"/>
    </row>
    <row r="28" spans="1:17" ht="15.75" x14ac:dyDescent="0.25">
      <c r="A28" s="91"/>
      <c r="B28" s="93"/>
      <c r="C28" s="69" t="str">
        <f>IF(ISBLANK(B28), "", IF(0&gt;=(B28-'Nurse Grid Dashboard'!$B$2), "EXPIRED", IF(AND((B28-'Nurse Grid Dashboard'!$B$2)&gt;0, (B28-'Nurse Grid Dashboard'!$B$2)&lt;=90), "EXPIRES SOON", "GOOD STANDING")))</f>
        <v/>
      </c>
      <c r="D28" s="55"/>
      <c r="E28" s="60"/>
      <c r="F28" s="60"/>
      <c r="G28" s="79"/>
    </row>
    <row r="29" spans="1:17" ht="15.75" x14ac:dyDescent="0.25">
      <c r="A29" s="91"/>
      <c r="B29" s="93"/>
      <c r="C29" s="69" t="str">
        <f>IF(ISBLANK(B29), "", IF(0&gt;=(B29-'Nurse Grid Dashboard'!$B$2), "EXPIRED", IF(AND((B29-'Nurse Grid Dashboard'!$B$2)&gt;0, (B29-'Nurse Grid Dashboard'!$B$2)&lt;=90), "EXPIRES SOON", "GOOD STANDING")))</f>
        <v/>
      </c>
      <c r="D29" s="55"/>
      <c r="E29" s="60"/>
      <c r="F29" s="60"/>
      <c r="G29" s="79"/>
    </row>
    <row r="30" spans="1:17" ht="15.75" x14ac:dyDescent="0.25">
      <c r="A30" s="91"/>
      <c r="B30" s="93"/>
      <c r="C30" s="69" t="str">
        <f>IF(ISBLANK(B30), "", IF(0&gt;=(B30-'Nurse Grid Dashboard'!$B$2), "EXPIRED", IF(AND((B30-'Nurse Grid Dashboard'!$B$2)&gt;0, (B30-'Nurse Grid Dashboard'!$B$2)&lt;=90), "EXPIRES SOON", "GOOD STANDING")))</f>
        <v/>
      </c>
      <c r="D30" s="55"/>
      <c r="E30" s="60"/>
      <c r="F30" s="60"/>
      <c r="G30" s="79"/>
    </row>
    <row r="31" spans="1:17" ht="15.75" x14ac:dyDescent="0.25">
      <c r="A31" s="91"/>
      <c r="B31" s="93"/>
      <c r="C31" s="69" t="str">
        <f>IF(ISBLANK(B31), "", IF(0&gt;=(B31-'Nurse Grid Dashboard'!$B$2), "EXPIRED", IF(AND((B31-'Nurse Grid Dashboard'!$B$2)&gt;0, (B31-'Nurse Grid Dashboard'!$B$2)&lt;=90), "EXPIRES SOON", "GOOD STANDING")))</f>
        <v/>
      </c>
      <c r="D31" s="55"/>
      <c r="E31" s="60"/>
      <c r="F31" s="60"/>
      <c r="G31" s="79"/>
    </row>
    <row r="32" spans="1:17" ht="15.75" x14ac:dyDescent="0.25">
      <c r="A32" s="91"/>
      <c r="B32" s="93"/>
      <c r="C32" s="69" t="str">
        <f>IF(ISBLANK(B32), "", IF(0&gt;=(B32-'Nurse Grid Dashboard'!$B$2), "EXPIRED", IF(AND((B32-'Nurse Grid Dashboard'!$B$2)&gt;0, (B32-'Nurse Grid Dashboard'!$B$2)&lt;=90), "EXPIRES SOON", "GOOD STANDING")))</f>
        <v/>
      </c>
      <c r="D32" s="55"/>
      <c r="E32" s="60"/>
      <c r="F32" s="60"/>
      <c r="G32" s="79"/>
    </row>
    <row r="33" spans="1:7" ht="15.75" x14ac:dyDescent="0.25">
      <c r="A33" s="91"/>
      <c r="B33" s="93"/>
      <c r="C33" s="69" t="str">
        <f>IF(ISBLANK(B33), "", IF(0&gt;=(B33-'Nurse Grid Dashboard'!$B$2), "EXPIRED", IF(AND((B33-'Nurse Grid Dashboard'!$B$2)&gt;0, (B33-'Nurse Grid Dashboard'!$B$2)&lt;=90), "EXPIRES SOON", "GOOD STANDING")))</f>
        <v/>
      </c>
      <c r="D33" s="55"/>
      <c r="E33" s="60"/>
      <c r="F33" s="60"/>
      <c r="G33" s="79"/>
    </row>
    <row r="34" spans="1:7" ht="15.75" x14ac:dyDescent="0.25">
      <c r="A34" s="71"/>
      <c r="B34" s="54"/>
      <c r="C34" s="69" t="str">
        <f>IF(ISBLANK(B34), "", IF(0&gt;=(B34-'Nurse Grid Dashboard'!$B$2), "EXPIRED", IF(AND((B34-'Nurse Grid Dashboard'!$B$2)&gt;0, (B34-'Nurse Grid Dashboard'!$B$2)&lt;=90), "EXPIRES SOON", "GOOD STANDING")))</f>
        <v/>
      </c>
      <c r="D34" s="55"/>
      <c r="E34" s="60"/>
      <c r="F34" s="60"/>
      <c r="G34" s="70"/>
    </row>
    <row r="35" spans="1:7" ht="15.75" x14ac:dyDescent="0.25">
      <c r="A35" s="71"/>
      <c r="B35" s="54"/>
      <c r="C35" s="69" t="str">
        <f>IF(ISBLANK(B35), "", IF(0&gt;=(B35-'Nurse Grid Dashboard'!$B$2), "EXPIRED", IF(AND((B35-'Nurse Grid Dashboard'!$B$2)&gt;0, (B35-'Nurse Grid Dashboard'!$B$2)&lt;=90), "EXPIRES SOON", "GOOD STANDING")))</f>
        <v/>
      </c>
      <c r="D35" s="55"/>
      <c r="E35" s="60"/>
      <c r="F35" s="60"/>
      <c r="G35" s="70"/>
    </row>
    <row r="36" spans="1:7" ht="15.75" x14ac:dyDescent="0.25">
      <c r="A36" s="71"/>
      <c r="B36" s="54"/>
      <c r="C36" s="69" t="str">
        <f>IF(ISBLANK(B36), "", IF(0&gt;=(B36-'Nurse Grid Dashboard'!$B$2), "EXPIRED", IF(AND((B36-'Nurse Grid Dashboard'!$B$2)&gt;0, (B36-'Nurse Grid Dashboard'!$B$2)&lt;=90), "EXPIRES SOON", "GOOD STANDING")))</f>
        <v/>
      </c>
      <c r="D36" s="55"/>
      <c r="E36" s="60"/>
      <c r="F36" s="60"/>
      <c r="G36" s="70"/>
    </row>
    <row r="37" spans="1:7" ht="15.75" x14ac:dyDescent="0.25">
      <c r="A37" s="71"/>
      <c r="B37" s="54"/>
      <c r="C37" s="69" t="str">
        <f>IF(ISBLANK(B37), "", IF(0&gt;=(B37-'Nurse Grid Dashboard'!$B$2), "EXPIRED", IF(AND((B37-'Nurse Grid Dashboard'!$B$2)&gt;0, (B37-'Nurse Grid Dashboard'!$B$2)&lt;=90), "EXPIRES SOON", "GOOD STANDING")))</f>
        <v/>
      </c>
      <c r="D37" s="55"/>
      <c r="E37" s="60"/>
      <c r="F37" s="60"/>
      <c r="G37" s="70"/>
    </row>
    <row r="38" spans="1:7" ht="15.75" x14ac:dyDescent="0.25">
      <c r="A38" s="71"/>
      <c r="B38" s="54"/>
      <c r="C38" s="69" t="str">
        <f>IF(ISBLANK(B38), "", IF(0&gt;=(B38-'Nurse Grid Dashboard'!$B$2), "EXPIRED", IF(AND((B38-'Nurse Grid Dashboard'!$B$2)&gt;0, (B38-'Nurse Grid Dashboard'!$B$2)&lt;=90), "EXPIRES SOON", "GOOD STANDING")))</f>
        <v/>
      </c>
      <c r="D38" s="55"/>
      <c r="E38" s="60"/>
      <c r="F38" s="60"/>
      <c r="G38" s="70"/>
    </row>
    <row r="39" spans="1:7" ht="15.75" x14ac:dyDescent="0.25">
      <c r="A39" s="71"/>
      <c r="B39" s="54"/>
      <c r="C39" s="69" t="str">
        <f>IF(ISBLANK(B39), "", IF(0&gt;=(B39-'Nurse Grid Dashboard'!$B$2), "EXPIRED", IF(AND((B39-'Nurse Grid Dashboard'!$B$2)&gt;0, (B39-'Nurse Grid Dashboard'!$B$2)&lt;=90), "EXPIRES SOON", "GOOD STANDING")))</f>
        <v/>
      </c>
      <c r="D39" s="55"/>
      <c r="E39" s="60"/>
      <c r="F39" s="60"/>
      <c r="G39" s="70"/>
    </row>
    <row r="40" spans="1:7" ht="15.75" x14ac:dyDescent="0.25">
      <c r="A40" s="71"/>
      <c r="B40" s="54"/>
      <c r="C40" s="69" t="str">
        <f>IF(ISBLANK(B40), "", IF(0&gt;=(B40-'Nurse Grid Dashboard'!$B$2), "EXPIRED", IF(AND((B40-'Nurse Grid Dashboard'!$B$2)&gt;0, (B40-'Nurse Grid Dashboard'!$B$2)&lt;=90), "EXPIRES SOON", "GOOD STANDING")))</f>
        <v/>
      </c>
      <c r="D40" s="55"/>
      <c r="E40" s="60"/>
      <c r="F40" s="60"/>
      <c r="G40" s="70"/>
    </row>
    <row r="41" spans="1:7" ht="15.75" x14ac:dyDescent="0.25">
      <c r="A41" s="71"/>
      <c r="B41" s="54"/>
      <c r="C41" s="69" t="str">
        <f>IF(ISBLANK(B41), "", IF(0&gt;=(B41-'Nurse Grid Dashboard'!$B$2), "EXPIRED", IF(AND((B41-'Nurse Grid Dashboard'!$B$2)&gt;0, (B41-'Nurse Grid Dashboard'!$B$2)&lt;=90), "EXPIRES SOON", "GOOD STANDING")))</f>
        <v/>
      </c>
      <c r="D41" s="55"/>
      <c r="E41" s="60"/>
      <c r="F41" s="60"/>
      <c r="G41" s="70"/>
    </row>
    <row r="42" spans="1:7" ht="15.75" x14ac:dyDescent="0.25">
      <c r="A42" s="71"/>
      <c r="B42" s="54"/>
      <c r="C42" s="69" t="str">
        <f>IF(ISBLANK(B42), "", IF(0&gt;=(B42-'Nurse Grid Dashboard'!$B$2), "EXPIRED", IF(AND((B42-'Nurse Grid Dashboard'!$B$2)&gt;0, (B42-'Nurse Grid Dashboard'!$B$2)&lt;=90), "EXPIRES SOON", "GOOD STANDING")))</f>
        <v/>
      </c>
      <c r="D42" s="55"/>
      <c r="E42" s="60"/>
      <c r="F42" s="60"/>
      <c r="G42" s="70"/>
    </row>
    <row r="43" spans="1:7" ht="15.75" x14ac:dyDescent="0.25">
      <c r="A43" s="71"/>
      <c r="B43" s="54"/>
      <c r="C43" s="69" t="str">
        <f>IF(ISBLANK(B43), "", IF(0&gt;=(B43-'Nurse Grid Dashboard'!$B$2), "EXPIRED", IF(AND((B43-'Nurse Grid Dashboard'!$B$2)&gt;0, (B43-'Nurse Grid Dashboard'!$B$2)&lt;=90), "EXPIRES SOON", "GOOD STANDING")))</f>
        <v/>
      </c>
      <c r="D43" s="55"/>
      <c r="E43" s="60"/>
      <c r="F43" s="60"/>
      <c r="G43" s="70"/>
    </row>
    <row r="44" spans="1:7" ht="15.75" x14ac:dyDescent="0.25">
      <c r="A44" s="71"/>
      <c r="B44" s="54"/>
      <c r="C44" s="69" t="str">
        <f>IF(ISBLANK(B44), "", IF(0&gt;=(B44-'Nurse Grid Dashboard'!$B$2), "EXPIRED", IF(AND((B44-'Nurse Grid Dashboard'!$B$2)&gt;0, (B44-'Nurse Grid Dashboard'!$B$2)&lt;=90), "EXPIRES SOON", "GOOD STANDING")))</f>
        <v/>
      </c>
      <c r="D44" s="55"/>
      <c r="E44" s="60"/>
      <c r="F44" s="60"/>
      <c r="G44" s="70"/>
    </row>
    <row r="45" spans="1:7" ht="15.75" x14ac:dyDescent="0.25">
      <c r="A45" s="71"/>
      <c r="B45" s="54"/>
      <c r="C45" s="69" t="str">
        <f>IF(ISBLANK(B45), "", IF(0&gt;=(B45-'Nurse Grid Dashboard'!$B$2), "EXPIRED", IF(AND((B45-'Nurse Grid Dashboard'!$B$2)&gt;0, (B45-'Nurse Grid Dashboard'!$B$2)&lt;=90), "EXPIRES SOON", "GOOD STANDING")))</f>
        <v/>
      </c>
      <c r="D45" s="55"/>
      <c r="E45" s="60"/>
      <c r="F45" s="60"/>
      <c r="G45" s="70"/>
    </row>
    <row r="46" spans="1:7" ht="15.75" x14ac:dyDescent="0.25">
      <c r="A46" s="71"/>
      <c r="B46" s="54"/>
      <c r="C46" s="69" t="str">
        <f>IF(ISBLANK(B46), "", IF(0&gt;=(B46-'Nurse Grid Dashboard'!$B$2), "EXPIRED", IF(AND((B46-'Nurse Grid Dashboard'!$B$2)&gt;0, (B46-'Nurse Grid Dashboard'!$B$2)&lt;=90), "EXPIRES SOON", "GOOD STANDING")))</f>
        <v/>
      </c>
      <c r="D46" s="55"/>
      <c r="E46" s="60"/>
      <c r="F46" s="60"/>
      <c r="G46" s="70"/>
    </row>
    <row r="47" spans="1:7" ht="15.75" x14ac:dyDescent="0.25">
      <c r="A47" s="71"/>
      <c r="B47" s="54"/>
      <c r="C47" s="69" t="str">
        <f>IF(ISBLANK(B47), "", IF(0&gt;=(B47-'Nurse Grid Dashboard'!$B$2), "EXPIRED", IF(AND((B47-'Nurse Grid Dashboard'!$B$2)&gt;0, (B47-'Nurse Grid Dashboard'!$B$2)&lt;=90), "EXPIRES SOON", "GOOD STANDING")))</f>
        <v/>
      </c>
      <c r="D47" s="55"/>
      <c r="E47" s="60"/>
      <c r="F47" s="60"/>
      <c r="G47" s="70"/>
    </row>
    <row r="48" spans="1:7" ht="15.75" x14ac:dyDescent="0.25">
      <c r="A48" s="71"/>
      <c r="B48" s="54"/>
      <c r="C48" s="69" t="str">
        <f>IF(ISBLANK(B48), "", IF(0&gt;=(B48-'Nurse Grid Dashboard'!$B$2), "EXPIRED", IF(AND((B48-'Nurse Grid Dashboard'!$B$2)&gt;0, (B48-'Nurse Grid Dashboard'!$B$2)&lt;=90), "EXPIRES SOON", "GOOD STANDING")))</f>
        <v/>
      </c>
      <c r="D48" s="55"/>
      <c r="E48" s="60"/>
      <c r="F48" s="60"/>
      <c r="G48" s="70"/>
    </row>
    <row r="49" spans="1:7" ht="15.75" x14ac:dyDescent="0.25">
      <c r="A49" s="71"/>
      <c r="B49" s="54"/>
      <c r="C49" s="69" t="str">
        <f>IF(ISBLANK(B49), "", IF(0&gt;=(B49-'Nurse Grid Dashboard'!$B$2), "EXPIRED", IF(AND((B49-'Nurse Grid Dashboard'!$B$2)&gt;0, (B49-'Nurse Grid Dashboard'!$B$2)&lt;=90), "EXPIRES SOON", "GOOD STANDING")))</f>
        <v/>
      </c>
      <c r="D49" s="55"/>
      <c r="E49" s="60"/>
      <c r="F49" s="60"/>
      <c r="G49" s="70"/>
    </row>
    <row r="50" spans="1:7" ht="15.75" x14ac:dyDescent="0.25">
      <c r="A50" s="71"/>
      <c r="B50" s="54"/>
      <c r="C50" s="69" t="str">
        <f>IF(ISBLANK(B50), "", IF(0&gt;=(B50-'Nurse Grid Dashboard'!$B$2), "EXPIRED", IF(AND((B50-'Nurse Grid Dashboard'!$B$2)&gt;0, (B50-'Nurse Grid Dashboard'!$B$2)&lt;=90), "EXPIRES SOON", "GOOD STANDING")))</f>
        <v/>
      </c>
      <c r="D50" s="55"/>
      <c r="E50" s="60"/>
      <c r="F50" s="60"/>
      <c r="G50" s="70"/>
    </row>
    <row r="51" spans="1:7" ht="15.75" x14ac:dyDescent="0.25">
      <c r="A51" s="71"/>
      <c r="B51" s="54"/>
      <c r="C51" s="69" t="str">
        <f>IF(ISBLANK(B51), "", IF(0&gt;=(B51-'Nurse Grid Dashboard'!$B$2), "EXPIRED", IF(AND((B51-'Nurse Grid Dashboard'!$B$2)&gt;0, (B51-'Nurse Grid Dashboard'!$B$2)&lt;=90), "EXPIRES SOON", "GOOD STANDING")))</f>
        <v/>
      </c>
      <c r="D51" s="55"/>
      <c r="E51" s="60"/>
      <c r="F51" s="60"/>
      <c r="G51" s="70"/>
    </row>
    <row r="52" spans="1:7" ht="15.75" x14ac:dyDescent="0.25">
      <c r="A52" s="71"/>
      <c r="B52" s="54"/>
      <c r="C52" s="69" t="str">
        <f>IF(ISBLANK(B52), "", IF(0&gt;=(B52-'Nurse Grid Dashboard'!$B$2), "EXPIRED", IF(AND((B52-'Nurse Grid Dashboard'!$B$2)&gt;0, (B52-'Nurse Grid Dashboard'!$B$2)&lt;=90), "EXPIRES SOON", "GOOD STANDING")))</f>
        <v/>
      </c>
      <c r="D52" s="55"/>
      <c r="E52" s="60"/>
      <c r="F52" s="60"/>
      <c r="G52" s="70"/>
    </row>
    <row r="53" spans="1:7" ht="15.75" x14ac:dyDescent="0.25">
      <c r="A53" s="71"/>
      <c r="B53" s="54"/>
      <c r="C53" s="69" t="str">
        <f>IF(ISBLANK(B53), "", IF(0&gt;=(B53-'Nurse Grid Dashboard'!$B$2), "EXPIRED", IF(AND((B53-'Nurse Grid Dashboard'!$B$2)&gt;0, (B53-'Nurse Grid Dashboard'!$B$2)&lt;=90), "EXPIRES SOON", "GOOD STANDING")))</f>
        <v/>
      </c>
      <c r="D53" s="55"/>
      <c r="E53" s="60"/>
      <c r="F53" s="60"/>
      <c r="G53" s="70"/>
    </row>
    <row r="54" spans="1:7" ht="15.75" x14ac:dyDescent="0.25">
      <c r="A54" s="71"/>
      <c r="B54" s="54"/>
      <c r="C54" s="69" t="str">
        <f>IF(ISBLANK(B54), "", IF(0&gt;=(B54-'Nurse Grid Dashboard'!$B$2), "EXPIRED", IF(AND((B54-'Nurse Grid Dashboard'!$B$2)&gt;0, (B54-'Nurse Grid Dashboard'!$B$2)&lt;=90), "EXPIRES SOON", "GOOD STANDING")))</f>
        <v/>
      </c>
      <c r="D54" s="55"/>
      <c r="E54" s="60"/>
      <c r="F54" s="60"/>
      <c r="G54" s="70"/>
    </row>
    <row r="55" spans="1:7" ht="15.75" x14ac:dyDescent="0.25">
      <c r="A55" s="71"/>
      <c r="B55" s="54"/>
      <c r="C55" s="69" t="str">
        <f>IF(ISBLANK(B55), "", IF(0&gt;=(B55-'Nurse Grid Dashboard'!$B$2), "EXPIRED", IF(AND((B55-'Nurse Grid Dashboard'!$B$2)&gt;0, (B55-'Nurse Grid Dashboard'!$B$2)&lt;=90), "EXPIRES SOON", "GOOD STANDING")))</f>
        <v/>
      </c>
      <c r="D55" s="55"/>
      <c r="E55" s="60"/>
      <c r="F55" s="60"/>
      <c r="G55" s="70"/>
    </row>
    <row r="56" spans="1:7" ht="15.75" x14ac:dyDescent="0.25">
      <c r="A56" s="71"/>
      <c r="B56" s="54"/>
      <c r="C56" s="69" t="str">
        <f>IF(ISBLANK(B56), "", IF(0&gt;=(B56-'Nurse Grid Dashboard'!$B$2), "EXPIRED", IF(AND((B56-'Nurse Grid Dashboard'!$B$2)&gt;0, (B56-'Nurse Grid Dashboard'!$B$2)&lt;=90), "EXPIRES SOON", "GOOD STANDING")))</f>
        <v/>
      </c>
      <c r="D56" s="55"/>
      <c r="E56" s="60"/>
      <c r="F56" s="60"/>
      <c r="G56" s="70"/>
    </row>
    <row r="57" spans="1:7" ht="16.5" thickBot="1" x14ac:dyDescent="0.3">
      <c r="A57" s="72"/>
      <c r="B57" s="73"/>
      <c r="C57" s="78" t="str">
        <f>IF(ISBLANK(B57), "", IF(0&gt;=(B57-'Nurse Grid Dashboard'!$B$2), "EXPIRED", IF(AND((B57-'Nurse Grid Dashboard'!$B$2)&gt;0, (B57-'Nurse Grid Dashboard'!$B$2)&lt;=90), "EXPIRES SOON", "GOOD STANDING")))</f>
        <v/>
      </c>
      <c r="D57" s="74"/>
      <c r="E57" s="75"/>
      <c r="F57" s="75"/>
      <c r="G57" s="76"/>
    </row>
  </sheetData>
  <mergeCells count="13">
    <mergeCell ref="K13:L13"/>
    <mergeCell ref="K7:L7"/>
    <mergeCell ref="K8:L8"/>
    <mergeCell ref="K9:L9"/>
    <mergeCell ref="K10:L10"/>
    <mergeCell ref="K11:L11"/>
    <mergeCell ref="K12:L12"/>
    <mergeCell ref="K6:L6"/>
    <mergeCell ref="B1:C1"/>
    <mergeCell ref="D1:F1"/>
    <mergeCell ref="G1:G2"/>
    <mergeCell ref="J1:L1"/>
    <mergeCell ref="J5:L5"/>
  </mergeCells>
  <conditionalFormatting sqref="C3:C57">
    <cfRule type="containsText" dxfId="143" priority="1" operator="containsText" text="EXPIRED">
      <formula>NOT(ISERROR(SEARCH("EXPIRED",C3)))</formula>
    </cfRule>
    <cfRule type="containsText" dxfId="142" priority="2" operator="containsText" text="GOOD STANDING">
      <formula>NOT(ISERROR(SEARCH("GOOD STANDING",C3)))</formula>
    </cfRule>
    <cfRule type="containsText" dxfId="141" priority="3" operator="containsText" text="EXPIRED">
      <formula>NOT(ISERROR(SEARCH("EXPIRED",C3)))</formula>
    </cfRule>
    <cfRule type="containsText" dxfId="140" priority="4" operator="containsText" text="EXPIRED">
      <formula>NOT(ISERROR(SEARCH("EXPIRED",C3)))</formula>
    </cfRule>
    <cfRule type="containsText" dxfId="139" priority="5" operator="containsText" text="EXPIRED">
      <formula>NOT(ISERROR(SEARCH("EXPIRED",C3)))</formula>
    </cfRule>
    <cfRule type="containsText" dxfId="138" priority="6" operator="containsText" text="EXPIRES SOON">
      <formula>NOT(ISERROR(SEARCH("EXPIRES SOON",C3)))</formula>
    </cfRule>
    <cfRule type="containsText" dxfId="137" priority="7" operator="containsText" text="GOOD STANDING">
      <formula>NOT(ISERROR(SEARCH("GOOD STANDING",C3)))</formula>
    </cfRule>
    <cfRule type="containsText" dxfId="136" priority="12" operator="containsText" text="EXPIRES SOON">
      <formula>NOT(ISERROR(SEARCH("EXPIRES SOON",C3)))</formula>
    </cfRule>
  </conditionalFormatting>
  <conditionalFormatting sqref="C14">
    <cfRule type="containsText" dxfId="135" priority="8" operator="containsText" text="GOOD STANDING">
      <formula>NOT(ISERROR(SEARCH("GOOD STANDING",C14)))</formula>
    </cfRule>
    <cfRule type="containsText" dxfId="134" priority="9" operator="containsText" text="GOOD$C$14">
      <formula>NOT(ISERROR(SEARCH("GOOD$C$14",C14)))</formula>
    </cfRule>
    <cfRule type="containsText" dxfId="133" priority="10" operator="containsText" text="GOOD$14:$14 STANDING">
      <formula>NOT(ISERROR(SEARCH("GOOD$14:$14 STANDING",C14)))</formula>
    </cfRule>
    <cfRule type="cellIs" dxfId="132" priority="11" operator="equal">
      <formula>"'GOOD STANDING"</formula>
    </cfRule>
  </conditionalFormatting>
  <hyperlinks>
    <hyperlink ref="K6" r:id="rId1" display="davidpeterkramer@outlook.com" xr:uid="{60A5BC0E-1FEB-4981-A74E-1D32B6F6AD4C}"/>
    <hyperlink ref="K7" r:id="rId2" display="rileyanne1@ec.rr.com" xr:uid="{90AFEC8B-C9C0-43FC-9DA5-B4FDC0CE354F}"/>
    <hyperlink ref="G3" r:id="rId3" xr:uid="{0CD81A7F-BC42-4A73-A07B-62FC685D664C}"/>
  </hyperlinks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FC7D-CECE-4316-A8BA-C53AD5E2C265}">
  <sheetPr codeName="Sheet4"/>
  <dimension ref="A1:Q57"/>
  <sheetViews>
    <sheetView zoomScaleNormal="100" workbookViewId="0">
      <selection activeCell="K7" sqref="K7:L7"/>
    </sheetView>
  </sheetViews>
  <sheetFormatPr defaultRowHeight="15" x14ac:dyDescent="0.25"/>
  <cols>
    <col min="1" max="1" width="28.28515625" customWidth="1"/>
    <col min="2" max="2" width="17.28515625" customWidth="1"/>
    <col min="3" max="3" width="23.28515625" customWidth="1"/>
    <col min="4" max="5" width="8.7109375" style="53" customWidth="1"/>
    <col min="6" max="6" width="8.85546875" style="53" customWidth="1"/>
    <col min="7" max="8" width="33.5703125" style="53" customWidth="1"/>
    <col min="9" max="9" width="9.42578125" style="53" customWidth="1"/>
    <col min="10" max="10" width="16.28515625" bestFit="1" customWidth="1"/>
    <col min="11" max="11" width="17.140625" customWidth="1"/>
    <col min="12" max="12" width="17.7109375" customWidth="1"/>
  </cols>
  <sheetData>
    <row r="1" spans="1:17" ht="23.65" customHeight="1" thickBot="1" x14ac:dyDescent="0.35">
      <c r="A1" s="64" t="s">
        <v>11</v>
      </c>
      <c r="B1" s="159" t="s">
        <v>1</v>
      </c>
      <c r="C1" s="160"/>
      <c r="D1" s="161" t="s">
        <v>22</v>
      </c>
      <c r="E1" s="162"/>
      <c r="F1" s="163"/>
      <c r="G1" s="154" t="s">
        <v>33</v>
      </c>
      <c r="H1" s="154" t="s">
        <v>48</v>
      </c>
      <c r="J1" s="156" t="s">
        <v>26</v>
      </c>
      <c r="K1" s="157"/>
      <c r="L1" s="158"/>
    </row>
    <row r="2" spans="1:17" ht="19.5" thickBot="1" x14ac:dyDescent="0.35">
      <c r="A2" s="94" t="s">
        <v>4</v>
      </c>
      <c r="B2" s="65" t="s">
        <v>0</v>
      </c>
      <c r="C2" s="61" t="s">
        <v>5</v>
      </c>
      <c r="D2" s="66" t="s">
        <v>23</v>
      </c>
      <c r="E2" s="67" t="s">
        <v>24</v>
      </c>
      <c r="F2" s="68" t="s">
        <v>25</v>
      </c>
      <c r="G2" s="155"/>
      <c r="H2" s="155"/>
      <c r="J2" s="84" t="s">
        <v>27</v>
      </c>
      <c r="K2" s="87" t="s">
        <v>28</v>
      </c>
      <c r="L2" s="85" t="s">
        <v>29</v>
      </c>
    </row>
    <row r="3" spans="1:17" ht="16.5" thickBot="1" x14ac:dyDescent="0.3">
      <c r="A3" s="108" t="s">
        <v>51</v>
      </c>
      <c r="B3" s="93">
        <v>45535</v>
      </c>
      <c r="C3" s="69" t="str">
        <f ca="1">IF(ISBLANK(B3), "", IF(0&gt;=(B3-'Nurse Grid Dashboard'!$B$2), "EXPIRED", IF(AND((B3-'Nurse Grid Dashboard'!$B$2)&gt;0, (B3-'Nurse Grid Dashboard'!$B$2)&lt;=90), "EXPIRES SOON", "GOOD STANDING")))</f>
        <v>EXPIRED</v>
      </c>
      <c r="D3" s="56" t="s">
        <v>50</v>
      </c>
      <c r="E3" s="59" t="s">
        <v>50</v>
      </c>
      <c r="F3" s="60" t="s">
        <v>50</v>
      </c>
      <c r="G3" s="118" t="s">
        <v>34</v>
      </c>
      <c r="H3" s="109" t="s">
        <v>49</v>
      </c>
      <c r="J3" s="82">
        <f ca="1">COUNTIF(C3:C57, "*good standing*")</f>
        <v>0</v>
      </c>
      <c r="K3" s="86">
        <f ca="1">COUNTIF(C3:C57, "*expires soon*")</f>
        <v>0</v>
      </c>
      <c r="L3" s="83">
        <f ca="1">COUNTIF(C3:C57, "*expired*")</f>
        <v>1</v>
      </c>
    </row>
    <row r="4" spans="1:17" ht="16.5" thickBot="1" x14ac:dyDescent="0.3">
      <c r="A4" s="106"/>
      <c r="B4" s="93"/>
      <c r="C4" s="69"/>
      <c r="D4" s="55"/>
      <c r="E4" s="60"/>
      <c r="F4" s="60"/>
      <c r="G4" s="119"/>
      <c r="H4" s="96"/>
    </row>
    <row r="5" spans="1:17" ht="18.75" x14ac:dyDescent="0.3">
      <c r="A5" s="106"/>
      <c r="B5" s="93"/>
      <c r="C5" s="69"/>
      <c r="D5" s="55"/>
      <c r="E5" s="60"/>
      <c r="F5" s="60"/>
      <c r="G5" s="119"/>
      <c r="H5" s="96"/>
      <c r="J5" s="164" t="s">
        <v>30</v>
      </c>
      <c r="K5" s="165"/>
      <c r="L5" s="166"/>
    </row>
    <row r="6" spans="1:17" ht="15.75" x14ac:dyDescent="0.25">
      <c r="A6" s="106"/>
      <c r="B6" s="93"/>
      <c r="C6" s="69"/>
      <c r="D6" s="55"/>
      <c r="E6" s="60"/>
      <c r="F6" s="60"/>
      <c r="G6" s="119"/>
      <c r="H6" s="96"/>
      <c r="J6" s="81" t="s">
        <v>31</v>
      </c>
      <c r="K6" s="152" t="s">
        <v>34</v>
      </c>
      <c r="L6" s="153"/>
    </row>
    <row r="7" spans="1:17" ht="15.75" x14ac:dyDescent="0.25">
      <c r="A7" s="106"/>
      <c r="B7" s="93"/>
      <c r="C7" s="69"/>
      <c r="D7" s="55"/>
      <c r="E7" s="60"/>
      <c r="F7" s="60"/>
      <c r="G7" s="119"/>
      <c r="H7" s="96"/>
      <c r="J7" s="81" t="s">
        <v>32</v>
      </c>
      <c r="K7" s="152" t="s">
        <v>34</v>
      </c>
      <c r="L7" s="153"/>
    </row>
    <row r="8" spans="1:17" ht="15.75" x14ac:dyDescent="0.25">
      <c r="A8" s="106"/>
      <c r="B8" s="93"/>
      <c r="C8" s="69"/>
      <c r="D8" s="55"/>
      <c r="E8" s="60"/>
      <c r="F8" s="60"/>
      <c r="G8" s="119"/>
      <c r="H8" s="96"/>
      <c r="J8" s="81" t="s">
        <v>35</v>
      </c>
      <c r="K8" s="148" t="s">
        <v>40</v>
      </c>
      <c r="L8" s="149"/>
    </row>
    <row r="9" spans="1:17" ht="15.75" x14ac:dyDescent="0.25">
      <c r="A9" s="106"/>
      <c r="B9" s="93"/>
      <c r="C9" s="69"/>
      <c r="D9" s="55"/>
      <c r="E9" s="60"/>
      <c r="F9" s="60"/>
      <c r="G9" s="119"/>
      <c r="H9" s="96"/>
      <c r="J9" s="81" t="s">
        <v>36</v>
      </c>
      <c r="K9" s="148" t="s">
        <v>41</v>
      </c>
      <c r="L9" s="149"/>
    </row>
    <row r="10" spans="1:17" ht="15.75" x14ac:dyDescent="0.25">
      <c r="A10" s="106"/>
      <c r="B10" s="93"/>
      <c r="C10" s="69"/>
      <c r="D10" s="55"/>
      <c r="E10" s="60"/>
      <c r="F10" s="60"/>
      <c r="G10" s="119"/>
      <c r="H10" s="96"/>
      <c r="J10" s="81" t="s">
        <v>39</v>
      </c>
      <c r="K10" s="148" t="s">
        <v>42</v>
      </c>
      <c r="L10" s="149"/>
    </row>
    <row r="11" spans="1:17" ht="15.6" customHeight="1" x14ac:dyDescent="0.25">
      <c r="A11" s="106"/>
      <c r="B11" s="93"/>
      <c r="C11" s="69"/>
      <c r="D11" s="55"/>
      <c r="E11" s="60"/>
      <c r="F11" s="60"/>
      <c r="G11" s="119"/>
      <c r="H11" s="96"/>
      <c r="I11" s="62"/>
      <c r="J11" s="81" t="s">
        <v>37</v>
      </c>
      <c r="K11" s="148" t="s">
        <v>43</v>
      </c>
      <c r="L11" s="149"/>
      <c r="M11" s="57"/>
      <c r="N11" s="57"/>
      <c r="O11" s="57"/>
      <c r="P11" s="57"/>
      <c r="Q11" s="57"/>
    </row>
    <row r="12" spans="1:17" ht="15.75" x14ac:dyDescent="0.25">
      <c r="A12" s="106"/>
      <c r="B12" s="93"/>
      <c r="C12" s="69"/>
      <c r="D12" s="55"/>
      <c r="E12" s="60"/>
      <c r="F12" s="60"/>
      <c r="G12" s="119"/>
      <c r="H12" s="96"/>
      <c r="I12" s="62"/>
      <c r="J12" s="88" t="s">
        <v>38</v>
      </c>
      <c r="K12" s="148" t="s">
        <v>44</v>
      </c>
      <c r="L12" s="149"/>
      <c r="M12" s="57"/>
      <c r="N12" s="57"/>
      <c r="O12" s="57"/>
      <c r="P12" s="57"/>
      <c r="Q12" s="57"/>
    </row>
    <row r="13" spans="1:17" ht="16.5" thickBot="1" x14ac:dyDescent="0.3">
      <c r="A13" s="106"/>
      <c r="B13" s="93"/>
      <c r="C13" s="69"/>
      <c r="D13" s="55"/>
      <c r="E13" s="60"/>
      <c r="F13" s="60"/>
      <c r="G13" s="119"/>
      <c r="H13" s="96"/>
      <c r="I13" s="62"/>
      <c r="J13" s="89" t="s">
        <v>46</v>
      </c>
      <c r="K13" s="150" t="s">
        <v>45</v>
      </c>
      <c r="L13" s="151"/>
      <c r="M13" s="57"/>
      <c r="N13" s="57"/>
      <c r="O13" s="57"/>
      <c r="P13" s="57"/>
      <c r="Q13" s="57"/>
    </row>
    <row r="14" spans="1:17" ht="15.75" x14ac:dyDescent="0.25">
      <c r="A14" s="106"/>
      <c r="B14" s="93"/>
      <c r="C14" s="69"/>
      <c r="D14" s="55"/>
      <c r="E14" s="60"/>
      <c r="F14" s="60"/>
      <c r="G14" s="119"/>
      <c r="H14" s="96"/>
      <c r="I14" s="62"/>
      <c r="J14" s="57"/>
      <c r="K14" s="57"/>
      <c r="L14" s="57"/>
      <c r="M14" s="57"/>
      <c r="N14" s="57"/>
      <c r="O14" s="57"/>
      <c r="P14" s="57"/>
      <c r="Q14" s="57"/>
    </row>
    <row r="15" spans="1:17" ht="15.75" x14ac:dyDescent="0.25">
      <c r="A15" s="106"/>
      <c r="B15" s="93"/>
      <c r="C15" s="69"/>
      <c r="D15" s="55"/>
      <c r="E15" s="60"/>
      <c r="F15" s="60"/>
      <c r="G15" s="119"/>
      <c r="H15" s="96"/>
    </row>
    <row r="16" spans="1:17" ht="15.75" x14ac:dyDescent="0.25">
      <c r="A16" s="106"/>
      <c r="B16" s="93"/>
      <c r="C16" s="69"/>
      <c r="D16" s="55"/>
      <c r="E16" s="60"/>
      <c r="F16" s="60"/>
      <c r="G16" s="119"/>
      <c r="H16" s="96"/>
    </row>
    <row r="17" spans="1:17" ht="15.75" x14ac:dyDescent="0.25">
      <c r="A17" s="106"/>
      <c r="B17" s="93"/>
      <c r="C17" s="69"/>
      <c r="D17" s="55"/>
      <c r="E17" s="60"/>
      <c r="F17" s="60"/>
      <c r="G17" s="119"/>
      <c r="H17" s="96"/>
    </row>
    <row r="18" spans="1:17" ht="15.75" x14ac:dyDescent="0.25">
      <c r="A18" s="106"/>
      <c r="B18" s="93"/>
      <c r="C18" s="69"/>
      <c r="D18" s="55"/>
      <c r="E18" s="60"/>
      <c r="F18" s="60"/>
      <c r="G18" s="119"/>
      <c r="H18" s="96"/>
    </row>
    <row r="19" spans="1:17" ht="15.75" x14ac:dyDescent="0.25">
      <c r="A19" s="106"/>
      <c r="B19" s="93"/>
      <c r="C19" s="69"/>
      <c r="D19" s="55"/>
      <c r="E19" s="60"/>
      <c r="F19" s="60"/>
      <c r="G19" s="119"/>
      <c r="H19" s="96"/>
    </row>
    <row r="20" spans="1:17" ht="15.75" x14ac:dyDescent="0.25">
      <c r="A20" s="106"/>
      <c r="B20" s="93"/>
      <c r="C20" s="69"/>
      <c r="D20" s="55"/>
      <c r="E20" s="60"/>
      <c r="F20" s="77"/>
      <c r="G20" s="119"/>
      <c r="H20" s="96"/>
      <c r="I20" s="63"/>
      <c r="J20" s="58"/>
      <c r="K20" s="58"/>
      <c r="L20" s="58"/>
      <c r="M20" s="58"/>
      <c r="N20" s="58"/>
      <c r="O20" s="58"/>
      <c r="P20" s="58"/>
      <c r="Q20" s="58"/>
    </row>
    <row r="21" spans="1:17" ht="15.75" x14ac:dyDescent="0.25">
      <c r="A21" s="106"/>
      <c r="B21" s="93"/>
      <c r="C21" s="69"/>
      <c r="D21" s="55"/>
      <c r="E21" s="60"/>
      <c r="F21" s="77"/>
      <c r="G21" s="119"/>
      <c r="H21" s="96"/>
      <c r="I21" s="63"/>
      <c r="J21" s="58"/>
      <c r="K21" s="58"/>
      <c r="L21" s="58"/>
      <c r="M21" s="58"/>
      <c r="N21" s="58"/>
      <c r="O21" s="58"/>
      <c r="P21" s="58"/>
      <c r="Q21" s="58"/>
    </row>
    <row r="22" spans="1:17" ht="15.75" x14ac:dyDescent="0.25">
      <c r="A22" s="106"/>
      <c r="B22" s="93"/>
      <c r="C22" s="69"/>
      <c r="D22" s="55"/>
      <c r="E22" s="60"/>
      <c r="F22" s="77"/>
      <c r="G22" s="119"/>
      <c r="H22" s="96"/>
      <c r="I22" s="63"/>
      <c r="J22" s="58"/>
      <c r="K22" s="58"/>
      <c r="L22" s="58"/>
      <c r="M22" s="58"/>
      <c r="N22" s="58"/>
      <c r="O22" s="58"/>
      <c r="P22" s="58"/>
      <c r="Q22" s="58"/>
    </row>
    <row r="23" spans="1:17" ht="15.75" x14ac:dyDescent="0.25">
      <c r="A23" s="106"/>
      <c r="B23" s="93"/>
      <c r="C23" s="69"/>
      <c r="D23" s="55"/>
      <c r="E23" s="60"/>
      <c r="F23" s="77"/>
      <c r="G23" s="119"/>
      <c r="H23" s="96"/>
      <c r="I23" s="63"/>
      <c r="J23" s="58"/>
      <c r="K23" s="58"/>
      <c r="L23" s="58"/>
      <c r="M23" s="58"/>
      <c r="N23" s="58"/>
      <c r="O23" s="58"/>
      <c r="P23" s="58"/>
      <c r="Q23" s="58"/>
    </row>
    <row r="24" spans="1:17" ht="15.75" x14ac:dyDescent="0.25">
      <c r="A24" s="106"/>
      <c r="B24" s="93"/>
      <c r="C24" s="69"/>
      <c r="D24" s="55"/>
      <c r="E24" s="60"/>
      <c r="F24" s="60"/>
      <c r="G24" s="119"/>
      <c r="H24" s="96"/>
    </row>
    <row r="25" spans="1:17" ht="15.75" x14ac:dyDescent="0.25">
      <c r="A25" s="106"/>
      <c r="B25" s="93"/>
      <c r="C25" s="69"/>
      <c r="D25" s="55"/>
      <c r="E25" s="60"/>
      <c r="F25" s="60"/>
      <c r="G25" s="119"/>
      <c r="H25" s="96"/>
    </row>
    <row r="26" spans="1:17" ht="15.75" x14ac:dyDescent="0.25">
      <c r="A26" s="106"/>
      <c r="B26" s="93"/>
      <c r="C26" s="69"/>
      <c r="D26" s="55"/>
      <c r="E26" s="60"/>
      <c r="F26" s="60"/>
      <c r="G26" s="119"/>
      <c r="H26" s="96"/>
    </row>
    <row r="27" spans="1:17" ht="15.75" x14ac:dyDescent="0.25">
      <c r="A27" s="106"/>
      <c r="B27" s="93"/>
      <c r="C27" s="69"/>
      <c r="D27" s="55"/>
      <c r="E27" s="60"/>
      <c r="F27" s="60"/>
      <c r="G27" s="119"/>
      <c r="H27" s="96"/>
    </row>
    <row r="28" spans="1:17" ht="15.75" x14ac:dyDescent="0.25">
      <c r="A28" s="106"/>
      <c r="B28" s="93"/>
      <c r="C28" s="69"/>
      <c r="D28" s="55"/>
      <c r="E28" s="60"/>
      <c r="F28" s="60"/>
      <c r="G28" s="119"/>
      <c r="H28" s="96"/>
    </row>
    <row r="29" spans="1:17" ht="15.75" x14ac:dyDescent="0.25">
      <c r="A29" s="106"/>
      <c r="B29" s="93"/>
      <c r="C29" s="69"/>
      <c r="D29" s="55"/>
      <c r="E29" s="60"/>
      <c r="F29" s="60"/>
      <c r="G29" s="119"/>
      <c r="H29" s="96"/>
    </row>
    <row r="30" spans="1:17" ht="15.75" x14ac:dyDescent="0.25">
      <c r="A30" s="106"/>
      <c r="B30" s="93"/>
      <c r="C30" s="69"/>
      <c r="D30" s="55"/>
      <c r="E30" s="60"/>
      <c r="F30" s="60"/>
      <c r="G30" s="119"/>
      <c r="H30" s="96"/>
    </row>
    <row r="31" spans="1:17" ht="15.75" x14ac:dyDescent="0.25">
      <c r="A31" s="106"/>
      <c r="B31" s="93"/>
      <c r="C31" s="69"/>
      <c r="D31" s="55"/>
      <c r="E31" s="60"/>
      <c r="F31" s="60"/>
      <c r="G31" s="119"/>
      <c r="H31" s="79"/>
    </row>
    <row r="32" spans="1:17" ht="15.75" x14ac:dyDescent="0.25">
      <c r="A32" s="106"/>
      <c r="B32" s="93"/>
      <c r="C32" s="69"/>
      <c r="D32" s="55"/>
      <c r="E32" s="60"/>
      <c r="F32" s="60"/>
      <c r="G32" s="119"/>
      <c r="H32" s="79"/>
    </row>
    <row r="33" spans="1:8" ht="15.75" x14ac:dyDescent="0.25">
      <c r="A33" s="106"/>
      <c r="B33" s="93"/>
      <c r="C33" s="69"/>
      <c r="D33" s="55"/>
      <c r="E33" s="60"/>
      <c r="F33" s="60"/>
      <c r="G33" s="119"/>
      <c r="H33" s="79"/>
    </row>
    <row r="34" spans="1:8" ht="15.75" x14ac:dyDescent="0.25">
      <c r="A34" s="106"/>
      <c r="B34" s="96"/>
      <c r="C34" s="69"/>
      <c r="D34" s="55"/>
      <c r="E34" s="60"/>
      <c r="F34" s="60"/>
      <c r="G34" s="60"/>
      <c r="H34" s="70"/>
    </row>
    <row r="35" spans="1:8" ht="15.75" x14ac:dyDescent="0.25">
      <c r="A35" s="106"/>
      <c r="B35" s="96"/>
      <c r="C35" s="69"/>
      <c r="D35" s="55"/>
      <c r="E35" s="60"/>
      <c r="F35" s="60"/>
      <c r="G35" s="60"/>
      <c r="H35" s="70"/>
    </row>
    <row r="36" spans="1:8" ht="15.75" x14ac:dyDescent="0.25">
      <c r="A36" s="106"/>
      <c r="B36" s="96"/>
      <c r="C36" s="69"/>
      <c r="D36" s="55"/>
      <c r="E36" s="60"/>
      <c r="F36" s="60"/>
      <c r="G36" s="60"/>
      <c r="H36" s="70"/>
    </row>
    <row r="37" spans="1:8" ht="15.75" x14ac:dyDescent="0.25">
      <c r="A37" s="106"/>
      <c r="B37" s="96"/>
      <c r="C37" s="69"/>
      <c r="D37" s="55"/>
      <c r="E37" s="60"/>
      <c r="F37" s="60"/>
      <c r="G37" s="60"/>
      <c r="H37" s="70"/>
    </row>
    <row r="38" spans="1:8" ht="15.75" x14ac:dyDescent="0.25">
      <c r="A38" s="106"/>
      <c r="B38" s="54"/>
      <c r="C38" s="69"/>
      <c r="D38" s="55"/>
      <c r="E38" s="60"/>
      <c r="F38" s="60"/>
      <c r="G38" s="60"/>
      <c r="H38" s="70"/>
    </row>
    <row r="39" spans="1:8" ht="15.75" x14ac:dyDescent="0.25">
      <c r="A39" s="71"/>
      <c r="B39" s="54"/>
      <c r="C39" s="69" t="str">
        <f>IF(ISBLANK(B39), "", IF(0&gt;=(B39-'Nurse Grid Dashboard'!$B$2), "EXPIRED", IF(AND((B39-'Nurse Grid Dashboard'!$B$2)&gt;0, (B39-'Nurse Grid Dashboard'!$B$2)&lt;=90), "EXPIRES SOON", "GOOD STANDING")))</f>
        <v/>
      </c>
      <c r="D39" s="55"/>
      <c r="E39" s="60"/>
      <c r="F39" s="60"/>
      <c r="G39" s="60"/>
      <c r="H39" s="70"/>
    </row>
    <row r="40" spans="1:8" ht="15.75" x14ac:dyDescent="0.25">
      <c r="A40" s="71"/>
      <c r="B40" s="54"/>
      <c r="C40" s="69" t="str">
        <f>IF(ISBLANK(B40), "", IF(0&gt;=(B40-'Nurse Grid Dashboard'!$B$2), "EXPIRED", IF(AND((B40-'Nurse Grid Dashboard'!$B$2)&gt;0, (B40-'Nurse Grid Dashboard'!$B$2)&lt;=90), "EXPIRES SOON", "GOOD STANDING")))</f>
        <v/>
      </c>
      <c r="D40" s="55"/>
      <c r="E40" s="60"/>
      <c r="F40" s="60"/>
      <c r="G40" s="60"/>
      <c r="H40" s="70"/>
    </row>
    <row r="41" spans="1:8" ht="15.75" x14ac:dyDescent="0.25">
      <c r="A41" s="71"/>
      <c r="B41" s="54"/>
      <c r="C41" s="69" t="str">
        <f>IF(ISBLANK(B41), "", IF(0&gt;=(B41-'Nurse Grid Dashboard'!$B$2), "EXPIRED", IF(AND((B41-'Nurse Grid Dashboard'!$B$2)&gt;0, (B41-'Nurse Grid Dashboard'!$B$2)&lt;=90), "EXPIRES SOON", "GOOD STANDING")))</f>
        <v/>
      </c>
      <c r="D41" s="55"/>
      <c r="E41" s="60"/>
      <c r="F41" s="60"/>
      <c r="G41" s="60"/>
      <c r="H41" s="70"/>
    </row>
    <row r="42" spans="1:8" ht="15.75" x14ac:dyDescent="0.25">
      <c r="A42" s="71"/>
      <c r="B42" s="54"/>
      <c r="C42" s="69" t="str">
        <f>IF(ISBLANK(B42), "", IF(0&gt;=(B42-'Nurse Grid Dashboard'!$B$2), "EXPIRED", IF(AND((B42-'Nurse Grid Dashboard'!$B$2)&gt;0, (B42-'Nurse Grid Dashboard'!$B$2)&lt;=90), "EXPIRES SOON", "GOOD STANDING")))</f>
        <v/>
      </c>
      <c r="D42" s="55"/>
      <c r="E42" s="60"/>
      <c r="F42" s="60"/>
      <c r="G42" s="60"/>
      <c r="H42" s="70"/>
    </row>
    <row r="43" spans="1:8" ht="15.75" x14ac:dyDescent="0.25">
      <c r="A43" s="71"/>
      <c r="B43" s="54"/>
      <c r="C43" s="69" t="str">
        <f>IF(ISBLANK(B43), "", IF(0&gt;=(B43-'Nurse Grid Dashboard'!$B$2), "EXPIRED", IF(AND((B43-'Nurse Grid Dashboard'!$B$2)&gt;0, (B43-'Nurse Grid Dashboard'!$B$2)&lt;=90), "EXPIRES SOON", "GOOD STANDING")))</f>
        <v/>
      </c>
      <c r="D43" s="55"/>
      <c r="E43" s="60"/>
      <c r="F43" s="60"/>
      <c r="G43" s="60"/>
      <c r="H43" s="70"/>
    </row>
    <row r="44" spans="1:8" ht="15.75" x14ac:dyDescent="0.25">
      <c r="A44" s="71"/>
      <c r="B44" s="54"/>
      <c r="C44" s="69" t="str">
        <f>IF(ISBLANK(B44), "", IF(0&gt;=(B44-'Nurse Grid Dashboard'!$B$2), "EXPIRED", IF(AND((B44-'Nurse Grid Dashboard'!$B$2)&gt;0, (B44-'Nurse Grid Dashboard'!$B$2)&lt;=90), "EXPIRES SOON", "GOOD STANDING")))</f>
        <v/>
      </c>
      <c r="D44" s="55"/>
      <c r="E44" s="60"/>
      <c r="F44" s="60"/>
      <c r="G44" s="60"/>
      <c r="H44" s="70"/>
    </row>
    <row r="45" spans="1:8" ht="15.75" x14ac:dyDescent="0.25">
      <c r="A45" s="71"/>
      <c r="B45" s="54"/>
      <c r="C45" s="69" t="str">
        <f>IF(ISBLANK(B45), "", IF(0&gt;=(B45-'Nurse Grid Dashboard'!$B$2), "EXPIRED", IF(AND((B45-'Nurse Grid Dashboard'!$B$2)&gt;0, (B45-'Nurse Grid Dashboard'!$B$2)&lt;=90), "EXPIRES SOON", "GOOD STANDING")))</f>
        <v/>
      </c>
      <c r="D45" s="55"/>
      <c r="E45" s="60"/>
      <c r="F45" s="60"/>
      <c r="G45" s="60"/>
      <c r="H45" s="70"/>
    </row>
    <row r="46" spans="1:8" ht="15.75" x14ac:dyDescent="0.25">
      <c r="A46" s="71"/>
      <c r="B46" s="54"/>
      <c r="C46" s="69" t="str">
        <f>IF(ISBLANK(B46), "", IF(0&gt;=(B46-'Nurse Grid Dashboard'!$B$2), "EXPIRED", IF(AND((B46-'Nurse Grid Dashboard'!$B$2)&gt;0, (B46-'Nurse Grid Dashboard'!$B$2)&lt;=90), "EXPIRES SOON", "GOOD STANDING")))</f>
        <v/>
      </c>
      <c r="D46" s="55"/>
      <c r="E46" s="60"/>
      <c r="F46" s="60"/>
      <c r="G46" s="60"/>
      <c r="H46" s="70"/>
    </row>
    <row r="47" spans="1:8" ht="15.75" x14ac:dyDescent="0.25">
      <c r="A47" s="71"/>
      <c r="B47" s="54"/>
      <c r="C47" s="69" t="str">
        <f>IF(ISBLANK(B47), "", IF(0&gt;=(B47-'Nurse Grid Dashboard'!$B$2), "EXPIRED", IF(AND((B47-'Nurse Grid Dashboard'!$B$2)&gt;0, (B47-'Nurse Grid Dashboard'!$B$2)&lt;=90), "EXPIRES SOON", "GOOD STANDING")))</f>
        <v/>
      </c>
      <c r="D47" s="55"/>
      <c r="E47" s="60"/>
      <c r="F47" s="60"/>
      <c r="G47" s="60"/>
      <c r="H47" s="70"/>
    </row>
    <row r="48" spans="1:8" ht="15.75" x14ac:dyDescent="0.25">
      <c r="A48" s="71"/>
      <c r="B48" s="54"/>
      <c r="C48" s="69" t="str">
        <f>IF(ISBLANK(B48), "", IF(0&gt;=(B48-'Nurse Grid Dashboard'!$B$2), "EXPIRED", IF(AND((B48-'Nurse Grid Dashboard'!$B$2)&gt;0, (B48-'Nurse Grid Dashboard'!$B$2)&lt;=90), "EXPIRES SOON", "GOOD STANDING")))</f>
        <v/>
      </c>
      <c r="D48" s="55"/>
      <c r="E48" s="60"/>
      <c r="F48" s="60"/>
      <c r="G48" s="60"/>
      <c r="H48" s="70"/>
    </row>
    <row r="49" spans="1:8" ht="15.75" x14ac:dyDescent="0.25">
      <c r="A49" s="71"/>
      <c r="B49" s="54"/>
      <c r="C49" s="69" t="str">
        <f>IF(ISBLANK(B49), "", IF(0&gt;=(B49-'Nurse Grid Dashboard'!$B$2), "EXPIRED", IF(AND((B49-'Nurse Grid Dashboard'!$B$2)&gt;0, (B49-'Nurse Grid Dashboard'!$B$2)&lt;=90), "EXPIRES SOON", "GOOD STANDING")))</f>
        <v/>
      </c>
      <c r="D49" s="55"/>
      <c r="E49" s="60"/>
      <c r="F49" s="60"/>
      <c r="G49" s="60"/>
      <c r="H49" s="70"/>
    </row>
    <row r="50" spans="1:8" ht="15.75" x14ac:dyDescent="0.25">
      <c r="A50" s="71"/>
      <c r="B50" s="54"/>
      <c r="C50" s="69" t="str">
        <f>IF(ISBLANK(B50), "", IF(0&gt;=(B50-'Nurse Grid Dashboard'!$B$2), "EXPIRED", IF(AND((B50-'Nurse Grid Dashboard'!$B$2)&gt;0, (B50-'Nurse Grid Dashboard'!$B$2)&lt;=90), "EXPIRES SOON", "GOOD STANDING")))</f>
        <v/>
      </c>
      <c r="D50" s="55"/>
      <c r="E50" s="60"/>
      <c r="F50" s="60"/>
      <c r="G50" s="60"/>
      <c r="H50" s="70"/>
    </row>
    <row r="51" spans="1:8" ht="15.75" x14ac:dyDescent="0.25">
      <c r="A51" s="71"/>
      <c r="B51" s="54"/>
      <c r="C51" s="69" t="str">
        <f>IF(ISBLANK(B51), "", IF(0&gt;=(B51-'Nurse Grid Dashboard'!$B$2), "EXPIRED", IF(AND((B51-'Nurse Grid Dashboard'!$B$2)&gt;0, (B51-'Nurse Grid Dashboard'!$B$2)&lt;=90), "EXPIRES SOON", "GOOD STANDING")))</f>
        <v/>
      </c>
      <c r="D51" s="55"/>
      <c r="E51" s="60"/>
      <c r="F51" s="60"/>
      <c r="G51" s="60"/>
      <c r="H51" s="70"/>
    </row>
    <row r="52" spans="1:8" ht="15.75" x14ac:dyDescent="0.25">
      <c r="A52" s="71"/>
      <c r="B52" s="54"/>
      <c r="C52" s="69" t="str">
        <f>IF(ISBLANK(B52), "", IF(0&gt;=(B52-'Nurse Grid Dashboard'!$B$2), "EXPIRED", IF(AND((B52-'Nurse Grid Dashboard'!$B$2)&gt;0, (B52-'Nurse Grid Dashboard'!$B$2)&lt;=90), "EXPIRES SOON", "GOOD STANDING")))</f>
        <v/>
      </c>
      <c r="D52" s="55"/>
      <c r="E52" s="60"/>
      <c r="F52" s="60"/>
      <c r="G52" s="60"/>
      <c r="H52" s="70"/>
    </row>
    <row r="53" spans="1:8" ht="15.75" x14ac:dyDescent="0.25">
      <c r="A53" s="71"/>
      <c r="B53" s="54"/>
      <c r="C53" s="69" t="str">
        <f>IF(ISBLANK(B53), "", IF(0&gt;=(B53-'Nurse Grid Dashboard'!$B$2), "EXPIRED", IF(AND((B53-'Nurse Grid Dashboard'!$B$2)&gt;0, (B53-'Nurse Grid Dashboard'!$B$2)&lt;=90), "EXPIRES SOON", "GOOD STANDING")))</f>
        <v/>
      </c>
      <c r="D53" s="55"/>
      <c r="E53" s="60"/>
      <c r="F53" s="60"/>
      <c r="G53" s="60"/>
      <c r="H53" s="70"/>
    </row>
    <row r="54" spans="1:8" ht="15.75" x14ac:dyDescent="0.25">
      <c r="A54" s="71"/>
      <c r="B54" s="54"/>
      <c r="C54" s="69" t="str">
        <f>IF(ISBLANK(B54), "", IF(0&gt;=(B54-'Nurse Grid Dashboard'!$B$2), "EXPIRED", IF(AND((B54-'Nurse Grid Dashboard'!$B$2)&gt;0, (B54-'Nurse Grid Dashboard'!$B$2)&lt;=90), "EXPIRES SOON", "GOOD STANDING")))</f>
        <v/>
      </c>
      <c r="D54" s="55"/>
      <c r="E54" s="60"/>
      <c r="F54" s="60"/>
      <c r="G54" s="60"/>
      <c r="H54" s="70"/>
    </row>
    <row r="55" spans="1:8" ht="15.75" x14ac:dyDescent="0.25">
      <c r="A55" s="71"/>
      <c r="B55" s="54"/>
      <c r="C55" s="69" t="str">
        <f>IF(ISBLANK(B55), "", IF(0&gt;=(B55-'Nurse Grid Dashboard'!$B$2), "EXPIRED", IF(AND((B55-'Nurse Grid Dashboard'!$B$2)&gt;0, (B55-'Nurse Grid Dashboard'!$B$2)&lt;=90), "EXPIRES SOON", "GOOD STANDING")))</f>
        <v/>
      </c>
      <c r="D55" s="55"/>
      <c r="E55" s="60"/>
      <c r="F55" s="60"/>
      <c r="G55" s="60"/>
      <c r="H55" s="70"/>
    </row>
    <row r="56" spans="1:8" ht="15.75" x14ac:dyDescent="0.25">
      <c r="A56" s="71"/>
      <c r="B56" s="54"/>
      <c r="C56" s="69" t="str">
        <f>IF(ISBLANK(B56), "", IF(0&gt;=(B56-'Nurse Grid Dashboard'!$B$2), "EXPIRED", IF(AND((B56-'Nurse Grid Dashboard'!$B$2)&gt;0, (B56-'Nurse Grid Dashboard'!$B$2)&lt;=90), "EXPIRES SOON", "GOOD STANDING")))</f>
        <v/>
      </c>
      <c r="D56" s="55"/>
      <c r="E56" s="60"/>
      <c r="F56" s="60"/>
      <c r="G56" s="60"/>
      <c r="H56" s="70"/>
    </row>
    <row r="57" spans="1:8" ht="16.5" thickBot="1" x14ac:dyDescent="0.3">
      <c r="A57" s="72"/>
      <c r="B57" s="73"/>
      <c r="C57" s="78" t="str">
        <f>IF(ISBLANK(B57), "", IF(0&gt;=(B57-'Nurse Grid Dashboard'!$B$2), "EXPIRED", IF(AND((B57-'Nurse Grid Dashboard'!$B$2)&gt;0, (B57-'Nurse Grid Dashboard'!$B$2)&lt;=90), "EXPIRES SOON", "GOOD STANDING")))</f>
        <v/>
      </c>
      <c r="D57" s="74"/>
      <c r="E57" s="75"/>
      <c r="F57" s="75"/>
      <c r="G57" s="75"/>
      <c r="H57" s="76"/>
    </row>
  </sheetData>
  <mergeCells count="14">
    <mergeCell ref="K13:L13"/>
    <mergeCell ref="H1:H2"/>
    <mergeCell ref="K7:L7"/>
    <mergeCell ref="K8:L8"/>
    <mergeCell ref="K9:L9"/>
    <mergeCell ref="K10:L10"/>
    <mergeCell ref="K11:L11"/>
    <mergeCell ref="K12:L12"/>
    <mergeCell ref="K6:L6"/>
    <mergeCell ref="B1:C1"/>
    <mergeCell ref="D1:F1"/>
    <mergeCell ref="G1:G2"/>
    <mergeCell ref="J1:L1"/>
    <mergeCell ref="J5:L5"/>
  </mergeCells>
  <conditionalFormatting sqref="C3:C57">
    <cfRule type="containsText" dxfId="131" priority="1" operator="containsText" text="EXPIRED">
      <formula>NOT(ISERROR(SEARCH("EXPIRED",C3)))</formula>
    </cfRule>
    <cfRule type="containsText" dxfId="130" priority="2" operator="containsText" text="GOOD STANDING">
      <formula>NOT(ISERROR(SEARCH("GOOD STANDING",C3)))</formula>
    </cfRule>
    <cfRule type="containsText" dxfId="129" priority="3" operator="containsText" text="EXPIRED">
      <formula>NOT(ISERROR(SEARCH("EXPIRED",C3)))</formula>
    </cfRule>
    <cfRule type="containsText" dxfId="128" priority="4" operator="containsText" text="EXPIRED">
      <formula>NOT(ISERROR(SEARCH("EXPIRED",C3)))</formula>
    </cfRule>
    <cfRule type="containsText" dxfId="127" priority="5" operator="containsText" text="EXPIRED">
      <formula>NOT(ISERROR(SEARCH("EXPIRED",C3)))</formula>
    </cfRule>
    <cfRule type="containsText" dxfId="126" priority="6" operator="containsText" text="EXPIRES SOON">
      <formula>NOT(ISERROR(SEARCH("EXPIRES SOON",C3)))</formula>
    </cfRule>
    <cfRule type="containsText" dxfId="125" priority="7" operator="containsText" text="GOOD STANDING">
      <formula>NOT(ISERROR(SEARCH("GOOD STANDING",C3)))</formula>
    </cfRule>
    <cfRule type="containsText" dxfId="124" priority="12" operator="containsText" text="EXPIRES SOON">
      <formula>NOT(ISERROR(SEARCH("EXPIRES SOON",C3)))</formula>
    </cfRule>
  </conditionalFormatting>
  <conditionalFormatting sqref="C14">
    <cfRule type="containsText" dxfId="123" priority="8" operator="containsText" text="GOOD STANDING">
      <formula>NOT(ISERROR(SEARCH("GOOD STANDING",C14)))</formula>
    </cfRule>
    <cfRule type="containsText" dxfId="122" priority="9" operator="containsText" text="GOOD$C$14">
      <formula>NOT(ISERROR(SEARCH("GOOD$C$14",C14)))</formula>
    </cfRule>
    <cfRule type="containsText" dxfId="121" priority="10" operator="containsText" text="GOOD$14:$14 STANDING">
      <formula>NOT(ISERROR(SEARCH("GOOD$14:$14 STANDING",C14)))</formula>
    </cfRule>
    <cfRule type="cellIs" dxfId="120" priority="11" operator="equal">
      <formula>"'GOOD STANDING"</formula>
    </cfRule>
  </conditionalFormatting>
  <hyperlinks>
    <hyperlink ref="K6" r:id="rId1" display="davidpeterkramer@outlook.com" xr:uid="{A7874448-6742-432D-A829-46784C5D0B25}"/>
    <hyperlink ref="K7" r:id="rId2" display="rileyanne1@ec.rr.com" xr:uid="{A837C998-36C5-4610-9220-5F657C0FE4A8}"/>
    <hyperlink ref="G3" r:id="rId3" xr:uid="{2EB8D6C7-0C0C-4F74-8AE9-083523004AE4}"/>
  </hyperlinks>
  <pageMargins left="0.7" right="0.7" top="0.75" bottom="0.75" header="0.3" footer="0.3"/>
  <pageSetup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FA5C9-5627-43F8-8A66-1CCDA31EA395}">
  <sheetPr codeName="Sheet5"/>
  <dimension ref="A1:Q57"/>
  <sheetViews>
    <sheetView zoomScaleNormal="100" workbookViewId="0">
      <selection activeCell="K7" sqref="K7:L7"/>
    </sheetView>
  </sheetViews>
  <sheetFormatPr defaultRowHeight="15" x14ac:dyDescent="0.25"/>
  <cols>
    <col min="1" max="1" width="28.28515625" customWidth="1"/>
    <col min="2" max="2" width="17.28515625" customWidth="1"/>
    <col min="3" max="3" width="23.28515625" customWidth="1"/>
    <col min="4" max="5" width="8.7109375" style="53" customWidth="1"/>
    <col min="6" max="6" width="8.85546875" style="53" customWidth="1"/>
    <col min="7" max="8" width="33.5703125" style="53" customWidth="1"/>
    <col min="9" max="9" width="9.42578125" style="53" customWidth="1"/>
    <col min="10" max="10" width="16.28515625" bestFit="1" customWidth="1"/>
    <col min="11" max="11" width="17.140625" customWidth="1"/>
    <col min="12" max="12" width="17.7109375" customWidth="1"/>
  </cols>
  <sheetData>
    <row r="1" spans="1:17" ht="23.65" customHeight="1" thickBot="1" x14ac:dyDescent="0.35">
      <c r="A1" s="64" t="s">
        <v>11</v>
      </c>
      <c r="B1" s="159" t="s">
        <v>2</v>
      </c>
      <c r="C1" s="160"/>
      <c r="D1" s="161" t="s">
        <v>22</v>
      </c>
      <c r="E1" s="162"/>
      <c r="F1" s="163"/>
      <c r="G1" s="154" t="s">
        <v>33</v>
      </c>
      <c r="H1" s="154" t="s">
        <v>48</v>
      </c>
      <c r="J1" s="156" t="s">
        <v>26</v>
      </c>
      <c r="K1" s="157"/>
      <c r="L1" s="158"/>
    </row>
    <row r="2" spans="1:17" ht="19.5" thickBot="1" x14ac:dyDescent="0.35">
      <c r="A2" s="94" t="s">
        <v>4</v>
      </c>
      <c r="B2" s="65" t="s">
        <v>0</v>
      </c>
      <c r="C2" s="61" t="s">
        <v>5</v>
      </c>
      <c r="D2" s="66" t="s">
        <v>23</v>
      </c>
      <c r="E2" s="67" t="s">
        <v>24</v>
      </c>
      <c r="F2" s="68" t="s">
        <v>25</v>
      </c>
      <c r="G2" s="155"/>
      <c r="H2" s="155"/>
      <c r="J2" s="84" t="s">
        <v>27</v>
      </c>
      <c r="K2" s="87" t="s">
        <v>28</v>
      </c>
      <c r="L2" s="85" t="s">
        <v>29</v>
      </c>
    </row>
    <row r="3" spans="1:17" ht="16.5" thickBot="1" x14ac:dyDescent="0.3">
      <c r="A3" s="108" t="s">
        <v>51</v>
      </c>
      <c r="B3" s="93">
        <v>45535</v>
      </c>
      <c r="C3" s="69" t="str">
        <f ca="1">IF(ISBLANK(B3), "", IF(0&gt;=(B3-'Nurse Grid Dashboard'!$B$2), "EXPIRED", IF(AND((B3-'Nurse Grid Dashboard'!$B$2)&gt;0, (B3-'Nurse Grid Dashboard'!$B$2)&lt;=90), "EXPIRES SOON", "GOOD STANDING")))</f>
        <v>EXPIRED</v>
      </c>
      <c r="D3" s="56"/>
      <c r="E3" s="59"/>
      <c r="F3" s="60"/>
      <c r="G3" s="118" t="s">
        <v>34</v>
      </c>
      <c r="H3" s="109"/>
      <c r="J3" s="82">
        <f ca="1">COUNTIF(C3:C57, "*good standing*")</f>
        <v>0</v>
      </c>
      <c r="K3" s="86">
        <f ca="1">COUNTIF(C3:C57, "*expires soon*")</f>
        <v>0</v>
      </c>
      <c r="L3" s="83">
        <f ca="1">COUNTIF(C3:C57, "*expired*")</f>
        <v>1</v>
      </c>
    </row>
    <row r="4" spans="1:17" ht="16.5" thickBot="1" x14ac:dyDescent="0.3">
      <c r="A4" s="106"/>
      <c r="B4" s="93"/>
      <c r="C4" s="69"/>
      <c r="D4" s="55"/>
      <c r="E4" s="60"/>
      <c r="F4" s="60"/>
      <c r="G4" s="119"/>
      <c r="H4" s="96"/>
    </row>
    <row r="5" spans="1:17" ht="18.75" x14ac:dyDescent="0.3">
      <c r="A5" s="106"/>
      <c r="B5" s="93"/>
      <c r="C5" s="69"/>
      <c r="D5" s="55"/>
      <c r="E5" s="60"/>
      <c r="F5" s="60"/>
      <c r="G5" s="119"/>
      <c r="H5" s="96"/>
      <c r="J5" s="164" t="s">
        <v>30</v>
      </c>
      <c r="K5" s="165"/>
      <c r="L5" s="166"/>
    </row>
    <row r="6" spans="1:17" ht="15.75" x14ac:dyDescent="0.25">
      <c r="A6" s="106"/>
      <c r="B6" s="96"/>
      <c r="C6" s="69"/>
      <c r="D6" s="55"/>
      <c r="E6" s="60"/>
      <c r="F6" s="60"/>
      <c r="G6" s="119"/>
      <c r="H6" s="96"/>
      <c r="J6" s="81" t="s">
        <v>31</v>
      </c>
      <c r="K6" s="152" t="s">
        <v>34</v>
      </c>
      <c r="L6" s="153"/>
    </row>
    <row r="7" spans="1:17" ht="15.75" x14ac:dyDescent="0.25">
      <c r="A7" s="106"/>
      <c r="B7" s="96"/>
      <c r="C7" s="69"/>
      <c r="D7" s="55"/>
      <c r="E7" s="60"/>
      <c r="F7" s="60"/>
      <c r="G7" s="119"/>
      <c r="H7" s="96"/>
      <c r="J7" s="81" t="s">
        <v>32</v>
      </c>
      <c r="K7" s="152" t="s">
        <v>34</v>
      </c>
      <c r="L7" s="153"/>
    </row>
    <row r="8" spans="1:17" ht="15.75" x14ac:dyDescent="0.25">
      <c r="A8" s="106"/>
      <c r="B8" s="93"/>
      <c r="C8" s="69"/>
      <c r="D8" s="55"/>
      <c r="E8" s="60"/>
      <c r="F8" s="60"/>
      <c r="G8" s="119"/>
      <c r="H8" s="96"/>
      <c r="J8" s="81" t="s">
        <v>35</v>
      </c>
      <c r="K8" s="148" t="s">
        <v>40</v>
      </c>
      <c r="L8" s="149"/>
    </row>
    <row r="9" spans="1:17" ht="15.75" x14ac:dyDescent="0.25">
      <c r="A9" s="106"/>
      <c r="B9" s="93"/>
      <c r="C9" s="69"/>
      <c r="D9" s="55"/>
      <c r="E9" s="60"/>
      <c r="F9" s="60"/>
      <c r="G9" s="119"/>
      <c r="H9" s="96"/>
      <c r="J9" s="81" t="s">
        <v>36</v>
      </c>
      <c r="K9" s="148" t="s">
        <v>41</v>
      </c>
      <c r="L9" s="149"/>
    </row>
    <row r="10" spans="1:17" ht="15.75" x14ac:dyDescent="0.25">
      <c r="A10" s="106"/>
      <c r="B10" s="93"/>
      <c r="C10" s="69"/>
      <c r="D10" s="55"/>
      <c r="E10" s="60"/>
      <c r="F10" s="60"/>
      <c r="G10" s="119"/>
      <c r="H10" s="96"/>
      <c r="J10" s="81" t="s">
        <v>39</v>
      </c>
      <c r="K10" s="148" t="s">
        <v>42</v>
      </c>
      <c r="L10" s="149"/>
    </row>
    <row r="11" spans="1:17" ht="15.6" customHeight="1" x14ac:dyDescent="0.25">
      <c r="A11" s="106"/>
      <c r="B11" s="93"/>
      <c r="C11" s="69"/>
      <c r="D11" s="55"/>
      <c r="E11" s="60"/>
      <c r="F11" s="60"/>
      <c r="G11" s="119"/>
      <c r="H11" s="96"/>
      <c r="I11" s="62"/>
      <c r="J11" s="81" t="s">
        <v>37</v>
      </c>
      <c r="K11" s="148" t="s">
        <v>43</v>
      </c>
      <c r="L11" s="149"/>
      <c r="M11" s="57"/>
      <c r="N11" s="57"/>
      <c r="O11" s="57"/>
      <c r="P11" s="57"/>
      <c r="Q11" s="57"/>
    </row>
    <row r="12" spans="1:17" ht="15.75" x14ac:dyDescent="0.25">
      <c r="A12" s="106"/>
      <c r="B12" s="93"/>
      <c r="C12" s="69"/>
      <c r="D12" s="55"/>
      <c r="E12" s="60"/>
      <c r="F12" s="60"/>
      <c r="G12" s="119"/>
      <c r="H12" s="96"/>
      <c r="I12" s="62"/>
      <c r="J12" s="88" t="s">
        <v>38</v>
      </c>
      <c r="K12" s="148" t="s">
        <v>44</v>
      </c>
      <c r="L12" s="149"/>
      <c r="M12" s="57"/>
      <c r="N12" s="57"/>
      <c r="O12" s="57"/>
      <c r="P12" s="57"/>
      <c r="Q12" s="57"/>
    </row>
    <row r="13" spans="1:17" ht="16.5" thickBot="1" x14ac:dyDescent="0.3">
      <c r="A13" s="106"/>
      <c r="B13" s="93"/>
      <c r="C13" s="69"/>
      <c r="D13" s="55"/>
      <c r="E13" s="60"/>
      <c r="F13" s="60"/>
      <c r="G13" s="119"/>
      <c r="H13" s="96"/>
      <c r="I13" s="62"/>
      <c r="J13" s="89" t="s">
        <v>46</v>
      </c>
      <c r="K13" s="150" t="s">
        <v>45</v>
      </c>
      <c r="L13" s="151"/>
      <c r="M13" s="57"/>
      <c r="N13" s="57"/>
      <c r="O13" s="57"/>
      <c r="P13" s="57"/>
      <c r="Q13" s="57"/>
    </row>
    <row r="14" spans="1:17" ht="15.75" x14ac:dyDescent="0.25">
      <c r="A14" s="106"/>
      <c r="B14" s="93"/>
      <c r="C14" s="69"/>
      <c r="D14" s="55"/>
      <c r="E14" s="60"/>
      <c r="F14" s="60"/>
      <c r="G14" s="119"/>
      <c r="H14" s="96"/>
      <c r="I14" s="62"/>
      <c r="J14" s="57"/>
      <c r="K14" s="57"/>
      <c r="L14" s="57"/>
      <c r="M14" s="57"/>
      <c r="N14" s="57"/>
      <c r="O14" s="57"/>
      <c r="P14" s="57"/>
      <c r="Q14" s="57"/>
    </row>
    <row r="15" spans="1:17" ht="15.75" x14ac:dyDescent="0.25">
      <c r="A15" s="106"/>
      <c r="B15" s="93"/>
      <c r="C15" s="69"/>
      <c r="D15" s="55"/>
      <c r="E15" s="60"/>
      <c r="F15" s="60"/>
      <c r="G15" s="119"/>
      <c r="H15" s="96"/>
    </row>
    <row r="16" spans="1:17" ht="15.75" x14ac:dyDescent="0.25">
      <c r="A16" s="106"/>
      <c r="B16" s="93"/>
      <c r="C16" s="69"/>
      <c r="D16" s="55"/>
      <c r="E16" s="60"/>
      <c r="F16" s="60"/>
      <c r="G16" s="119"/>
      <c r="H16" s="96"/>
    </row>
    <row r="17" spans="1:17" ht="15.75" x14ac:dyDescent="0.25">
      <c r="A17" s="106"/>
      <c r="B17" s="93"/>
      <c r="C17" s="69"/>
      <c r="D17" s="55"/>
      <c r="E17" s="60"/>
      <c r="F17" s="60"/>
      <c r="G17" s="119"/>
      <c r="H17" s="96"/>
    </row>
    <row r="18" spans="1:17" ht="15.75" x14ac:dyDescent="0.25">
      <c r="A18" s="106"/>
      <c r="B18" s="93"/>
      <c r="C18" s="69"/>
      <c r="D18" s="55"/>
      <c r="E18" s="60"/>
      <c r="F18" s="60"/>
      <c r="G18" s="119"/>
      <c r="H18" s="96"/>
    </row>
    <row r="19" spans="1:17" ht="15.75" x14ac:dyDescent="0.25">
      <c r="A19" s="106"/>
      <c r="B19" s="93"/>
      <c r="C19" s="69"/>
      <c r="D19" s="55"/>
      <c r="E19" s="60"/>
      <c r="F19" s="60"/>
      <c r="G19" s="119"/>
      <c r="H19" s="96"/>
    </row>
    <row r="20" spans="1:17" ht="15.75" x14ac:dyDescent="0.25">
      <c r="A20" s="106"/>
      <c r="B20" s="93"/>
      <c r="C20" s="69"/>
      <c r="D20" s="55"/>
      <c r="E20" s="60"/>
      <c r="F20" s="77"/>
      <c r="G20" s="119"/>
      <c r="H20" s="96"/>
      <c r="I20" s="63"/>
      <c r="J20" s="58"/>
      <c r="K20" s="58"/>
      <c r="L20" s="58"/>
      <c r="M20" s="58"/>
      <c r="N20" s="58"/>
      <c r="O20" s="58"/>
      <c r="P20" s="58"/>
      <c r="Q20" s="58"/>
    </row>
    <row r="21" spans="1:17" ht="15.75" x14ac:dyDescent="0.25">
      <c r="A21" s="106"/>
      <c r="B21" s="93"/>
      <c r="C21" s="69"/>
      <c r="D21" s="55"/>
      <c r="E21" s="60"/>
      <c r="F21" s="77"/>
      <c r="G21" s="119"/>
      <c r="H21" s="96"/>
      <c r="I21" s="63"/>
      <c r="J21" s="58"/>
      <c r="K21" s="58"/>
      <c r="L21" s="58"/>
      <c r="M21" s="58"/>
      <c r="N21" s="58"/>
      <c r="O21" s="58"/>
      <c r="P21" s="58"/>
      <c r="Q21" s="58"/>
    </row>
    <row r="22" spans="1:17" ht="15.75" x14ac:dyDescent="0.25">
      <c r="A22" s="106"/>
      <c r="B22" s="93"/>
      <c r="C22" s="69"/>
      <c r="D22" s="55"/>
      <c r="E22" s="60"/>
      <c r="F22" s="77"/>
      <c r="G22" s="119"/>
      <c r="H22" s="96"/>
      <c r="I22" s="63"/>
      <c r="J22" s="58"/>
      <c r="K22" s="58"/>
      <c r="L22" s="58"/>
      <c r="M22" s="58"/>
      <c r="N22" s="58"/>
      <c r="O22" s="58"/>
      <c r="P22" s="58"/>
      <c r="Q22" s="58"/>
    </row>
    <row r="23" spans="1:17" ht="15.75" x14ac:dyDescent="0.25">
      <c r="A23" s="106"/>
      <c r="B23" s="93"/>
      <c r="C23" s="69"/>
      <c r="D23" s="55"/>
      <c r="E23" s="60"/>
      <c r="F23" s="77"/>
      <c r="G23" s="119"/>
      <c r="H23" s="96"/>
      <c r="I23" s="63"/>
      <c r="J23" s="58"/>
      <c r="K23" s="58"/>
      <c r="L23" s="58"/>
      <c r="M23" s="58"/>
      <c r="N23" s="58"/>
      <c r="O23" s="58"/>
      <c r="P23" s="58"/>
      <c r="Q23" s="58"/>
    </row>
    <row r="24" spans="1:17" ht="15.75" x14ac:dyDescent="0.25">
      <c r="A24" s="106"/>
      <c r="B24" s="96"/>
      <c r="C24" s="69"/>
      <c r="D24" s="55"/>
      <c r="E24" s="60"/>
      <c r="F24" s="60"/>
      <c r="G24" s="119"/>
      <c r="H24" s="96"/>
    </row>
    <row r="25" spans="1:17" ht="15.75" x14ac:dyDescent="0.25">
      <c r="A25" s="106"/>
      <c r="B25" s="96"/>
      <c r="C25" s="69"/>
      <c r="D25" s="55"/>
      <c r="E25" s="60"/>
      <c r="F25" s="60"/>
      <c r="G25" s="119"/>
      <c r="H25" s="96"/>
    </row>
    <row r="26" spans="1:17" ht="15.75" x14ac:dyDescent="0.25">
      <c r="A26" s="106"/>
      <c r="B26" s="93"/>
      <c r="C26" s="69"/>
      <c r="D26" s="55"/>
      <c r="E26" s="60"/>
      <c r="F26" s="60"/>
      <c r="G26" s="119"/>
      <c r="H26" s="96"/>
    </row>
    <row r="27" spans="1:17" ht="15.75" x14ac:dyDescent="0.25">
      <c r="A27" s="106"/>
      <c r="B27" s="93"/>
      <c r="C27" s="69"/>
      <c r="D27" s="55"/>
      <c r="E27" s="60"/>
      <c r="F27" s="60"/>
      <c r="G27" s="119"/>
      <c r="H27" s="96"/>
    </row>
    <row r="28" spans="1:17" ht="15.75" x14ac:dyDescent="0.25">
      <c r="A28" s="106"/>
      <c r="B28" s="93"/>
      <c r="C28" s="69"/>
      <c r="D28" s="55"/>
      <c r="E28" s="60"/>
      <c r="F28" s="60"/>
      <c r="G28" s="119"/>
      <c r="H28" s="96"/>
    </row>
    <row r="29" spans="1:17" ht="15.75" x14ac:dyDescent="0.25">
      <c r="A29" s="106"/>
      <c r="B29" s="93"/>
      <c r="C29" s="69"/>
      <c r="D29" s="55"/>
      <c r="E29" s="60"/>
      <c r="F29" s="60"/>
      <c r="G29" s="119"/>
      <c r="H29" s="96"/>
    </row>
    <row r="30" spans="1:17" ht="15.75" x14ac:dyDescent="0.25">
      <c r="A30" s="106"/>
      <c r="B30" s="93"/>
      <c r="C30" s="69"/>
      <c r="D30" s="55"/>
      <c r="E30" s="60"/>
      <c r="F30" s="60"/>
      <c r="G30" s="119"/>
      <c r="H30" s="96"/>
    </row>
    <row r="31" spans="1:17" ht="15.75" x14ac:dyDescent="0.25">
      <c r="A31" s="106"/>
      <c r="B31" s="93"/>
      <c r="C31" s="69"/>
      <c r="D31" s="55"/>
      <c r="E31" s="60"/>
      <c r="F31" s="60"/>
      <c r="G31" s="119"/>
      <c r="H31" s="96"/>
    </row>
    <row r="32" spans="1:17" ht="15.75" x14ac:dyDescent="0.25">
      <c r="A32" s="106"/>
      <c r="B32" s="93"/>
      <c r="C32" s="69"/>
      <c r="D32" s="55"/>
      <c r="E32" s="60"/>
      <c r="F32" s="60"/>
      <c r="G32" s="119"/>
      <c r="H32" s="96"/>
    </row>
    <row r="33" spans="1:8" ht="15.75" x14ac:dyDescent="0.25">
      <c r="A33" s="106"/>
      <c r="B33" s="93"/>
      <c r="C33" s="69"/>
      <c r="D33" s="55"/>
      <c r="E33" s="60"/>
      <c r="F33" s="60"/>
      <c r="G33" s="119"/>
      <c r="H33" s="96"/>
    </row>
    <row r="34" spans="1:8" ht="15.75" x14ac:dyDescent="0.25">
      <c r="A34" s="106"/>
      <c r="B34" s="96"/>
      <c r="C34" s="69"/>
      <c r="D34" s="55"/>
      <c r="E34" s="60"/>
      <c r="F34" s="60"/>
      <c r="G34" s="60"/>
      <c r="H34" s="96"/>
    </row>
    <row r="35" spans="1:8" ht="15.75" x14ac:dyDescent="0.25">
      <c r="A35" s="106"/>
      <c r="B35" s="96"/>
      <c r="C35" s="69"/>
      <c r="D35" s="55"/>
      <c r="E35" s="60"/>
      <c r="F35" s="60"/>
      <c r="G35" s="60"/>
      <c r="H35" s="96"/>
    </row>
    <row r="36" spans="1:8" ht="15.75" x14ac:dyDescent="0.25">
      <c r="A36" s="106"/>
      <c r="B36" s="96"/>
      <c r="C36" s="69"/>
      <c r="D36" s="55"/>
      <c r="E36" s="60"/>
      <c r="F36" s="60"/>
      <c r="G36" s="60"/>
      <c r="H36" s="96"/>
    </row>
    <row r="37" spans="1:8" ht="15.75" x14ac:dyDescent="0.25">
      <c r="A37" s="106"/>
      <c r="B37" s="96"/>
      <c r="C37" s="69"/>
      <c r="D37" s="55"/>
      <c r="E37" s="60"/>
      <c r="F37" s="60"/>
      <c r="G37" s="60"/>
      <c r="H37" s="96"/>
    </row>
    <row r="38" spans="1:8" ht="15.75" x14ac:dyDescent="0.25">
      <c r="A38" s="106"/>
      <c r="B38" s="54"/>
      <c r="C38" s="69"/>
      <c r="D38" s="55"/>
      <c r="E38" s="60"/>
      <c r="F38" s="60"/>
      <c r="G38" s="60"/>
      <c r="H38" s="96"/>
    </row>
    <row r="39" spans="1:8" ht="15.75" x14ac:dyDescent="0.25">
      <c r="A39" s="71"/>
      <c r="B39" s="54"/>
      <c r="C39" s="69"/>
      <c r="D39" s="55"/>
      <c r="E39" s="60"/>
      <c r="F39" s="60"/>
      <c r="G39" s="60"/>
      <c r="H39" s="120"/>
    </row>
    <row r="40" spans="1:8" ht="15.75" x14ac:dyDescent="0.25">
      <c r="A40" s="71"/>
      <c r="B40" s="54"/>
      <c r="C40" s="69"/>
      <c r="D40" s="55"/>
      <c r="E40" s="60"/>
      <c r="F40" s="60"/>
      <c r="G40" s="60"/>
      <c r="H40" s="70"/>
    </row>
    <row r="41" spans="1:8" ht="15.75" x14ac:dyDescent="0.25">
      <c r="A41" s="71"/>
      <c r="B41" s="54"/>
      <c r="C41" s="69"/>
      <c r="D41" s="55"/>
      <c r="E41" s="60"/>
      <c r="F41" s="60"/>
      <c r="G41" s="60"/>
      <c r="H41" s="70"/>
    </row>
    <row r="42" spans="1:8" ht="15.75" x14ac:dyDescent="0.25">
      <c r="A42" s="71"/>
      <c r="B42" s="54"/>
      <c r="C42" s="69"/>
      <c r="D42" s="55"/>
      <c r="E42" s="60"/>
      <c r="F42" s="60"/>
      <c r="G42" s="60"/>
      <c r="H42" s="70"/>
    </row>
    <row r="43" spans="1:8" ht="15.75" x14ac:dyDescent="0.25">
      <c r="A43" s="71"/>
      <c r="B43" s="54"/>
      <c r="C43" s="69" t="str">
        <f>IF(ISBLANK(B43), "", IF(0&gt;=(B43-'Nurse Grid Dashboard'!$B$2), "EXPIRED", IF(AND((B43-'Nurse Grid Dashboard'!$B$2)&gt;0, (B43-'Nurse Grid Dashboard'!$B$2)&lt;=90), "EXPIRES SOON", "GOOD STANDING")))</f>
        <v/>
      </c>
      <c r="D43" s="55"/>
      <c r="E43" s="60"/>
      <c r="F43" s="60"/>
      <c r="G43" s="60"/>
      <c r="H43" s="70"/>
    </row>
    <row r="44" spans="1:8" ht="15.75" x14ac:dyDescent="0.25">
      <c r="A44" s="71"/>
      <c r="B44" s="54"/>
      <c r="C44" s="69" t="str">
        <f>IF(ISBLANK(B44), "", IF(0&gt;=(B44-'Nurse Grid Dashboard'!$B$2), "EXPIRED", IF(AND((B44-'Nurse Grid Dashboard'!$B$2)&gt;0, (B44-'Nurse Grid Dashboard'!$B$2)&lt;=90), "EXPIRES SOON", "GOOD STANDING")))</f>
        <v/>
      </c>
      <c r="D44" s="55"/>
      <c r="E44" s="60"/>
      <c r="F44" s="60"/>
      <c r="G44" s="60"/>
      <c r="H44" s="70"/>
    </row>
    <row r="45" spans="1:8" ht="15.75" x14ac:dyDescent="0.25">
      <c r="A45" s="71"/>
      <c r="B45" s="54"/>
      <c r="C45" s="69" t="str">
        <f>IF(ISBLANK(B45), "", IF(0&gt;=(B45-'Nurse Grid Dashboard'!$B$2), "EXPIRED", IF(AND((B45-'Nurse Grid Dashboard'!$B$2)&gt;0, (B45-'Nurse Grid Dashboard'!$B$2)&lt;=90), "EXPIRES SOON", "GOOD STANDING")))</f>
        <v/>
      </c>
      <c r="D45" s="55"/>
      <c r="E45" s="60"/>
      <c r="F45" s="60"/>
      <c r="G45" s="60"/>
      <c r="H45" s="70"/>
    </row>
    <row r="46" spans="1:8" ht="15.75" x14ac:dyDescent="0.25">
      <c r="A46" s="71"/>
      <c r="B46" s="54"/>
      <c r="C46" s="69" t="str">
        <f>IF(ISBLANK(B46), "", IF(0&gt;=(B46-'Nurse Grid Dashboard'!$B$2), "EXPIRED", IF(AND((B46-'Nurse Grid Dashboard'!$B$2)&gt;0, (B46-'Nurse Grid Dashboard'!$B$2)&lt;=90), "EXPIRES SOON", "GOOD STANDING")))</f>
        <v/>
      </c>
      <c r="D46" s="55"/>
      <c r="E46" s="60"/>
      <c r="F46" s="60"/>
      <c r="G46" s="60"/>
      <c r="H46" s="70"/>
    </row>
    <row r="47" spans="1:8" ht="15.75" x14ac:dyDescent="0.25">
      <c r="A47" s="71"/>
      <c r="B47" s="54"/>
      <c r="C47" s="69" t="str">
        <f>IF(ISBLANK(B47), "", IF(0&gt;=(B47-'Nurse Grid Dashboard'!$B$2), "EXPIRED", IF(AND((B47-'Nurse Grid Dashboard'!$B$2)&gt;0, (B47-'Nurse Grid Dashboard'!$B$2)&lt;=90), "EXPIRES SOON", "GOOD STANDING")))</f>
        <v/>
      </c>
      <c r="D47" s="55"/>
      <c r="E47" s="60"/>
      <c r="F47" s="60"/>
      <c r="G47" s="60"/>
      <c r="H47" s="70"/>
    </row>
    <row r="48" spans="1:8" ht="15.75" x14ac:dyDescent="0.25">
      <c r="A48" s="71"/>
      <c r="B48" s="54"/>
      <c r="C48" s="69" t="str">
        <f>IF(ISBLANK(B48), "", IF(0&gt;=(B48-'Nurse Grid Dashboard'!$B$2), "EXPIRED", IF(AND((B48-'Nurse Grid Dashboard'!$B$2)&gt;0, (B48-'Nurse Grid Dashboard'!$B$2)&lt;=90), "EXPIRES SOON", "GOOD STANDING")))</f>
        <v/>
      </c>
      <c r="D48" s="55"/>
      <c r="E48" s="60"/>
      <c r="F48" s="60"/>
      <c r="G48" s="60"/>
      <c r="H48" s="70"/>
    </row>
    <row r="49" spans="1:8" ht="15.75" x14ac:dyDescent="0.25">
      <c r="A49" s="71"/>
      <c r="B49" s="54"/>
      <c r="C49" s="69" t="str">
        <f>IF(ISBLANK(B49), "", IF(0&gt;=(B49-'Nurse Grid Dashboard'!$B$2), "EXPIRED", IF(AND((B49-'Nurse Grid Dashboard'!$B$2)&gt;0, (B49-'Nurse Grid Dashboard'!$B$2)&lt;=90), "EXPIRES SOON", "GOOD STANDING")))</f>
        <v/>
      </c>
      <c r="D49" s="55"/>
      <c r="E49" s="60"/>
      <c r="F49" s="60"/>
      <c r="G49" s="60"/>
      <c r="H49" s="70"/>
    </row>
    <row r="50" spans="1:8" ht="15.75" x14ac:dyDescent="0.25">
      <c r="A50" s="71"/>
      <c r="B50" s="54"/>
      <c r="C50" s="69" t="str">
        <f>IF(ISBLANK(B50), "", IF(0&gt;=(B50-'Nurse Grid Dashboard'!$B$2), "EXPIRED", IF(AND((B50-'Nurse Grid Dashboard'!$B$2)&gt;0, (B50-'Nurse Grid Dashboard'!$B$2)&lt;=90), "EXPIRES SOON", "GOOD STANDING")))</f>
        <v/>
      </c>
      <c r="D50" s="55"/>
      <c r="E50" s="60"/>
      <c r="F50" s="60"/>
      <c r="G50" s="60"/>
      <c r="H50" s="70"/>
    </row>
    <row r="51" spans="1:8" ht="15.75" x14ac:dyDescent="0.25">
      <c r="A51" s="71"/>
      <c r="B51" s="54"/>
      <c r="C51" s="69" t="str">
        <f>IF(ISBLANK(B51), "", IF(0&gt;=(B51-'Nurse Grid Dashboard'!$B$2), "EXPIRED", IF(AND((B51-'Nurse Grid Dashboard'!$B$2)&gt;0, (B51-'Nurse Grid Dashboard'!$B$2)&lt;=90), "EXPIRES SOON", "GOOD STANDING")))</f>
        <v/>
      </c>
      <c r="D51" s="55"/>
      <c r="E51" s="60"/>
      <c r="F51" s="60"/>
      <c r="G51" s="60"/>
      <c r="H51" s="70"/>
    </row>
    <row r="52" spans="1:8" ht="15.75" x14ac:dyDescent="0.25">
      <c r="A52" s="71"/>
      <c r="B52" s="54"/>
      <c r="C52" s="69" t="str">
        <f>IF(ISBLANK(B52), "", IF(0&gt;=(B52-'Nurse Grid Dashboard'!$B$2), "EXPIRED", IF(AND((B52-'Nurse Grid Dashboard'!$B$2)&gt;0, (B52-'Nurse Grid Dashboard'!$B$2)&lt;=90), "EXPIRES SOON", "GOOD STANDING")))</f>
        <v/>
      </c>
      <c r="D52" s="55"/>
      <c r="E52" s="60"/>
      <c r="F52" s="60"/>
      <c r="G52" s="60"/>
      <c r="H52" s="70"/>
    </row>
    <row r="53" spans="1:8" ht="15.75" x14ac:dyDescent="0.25">
      <c r="A53" s="71"/>
      <c r="B53" s="54"/>
      <c r="C53" s="69" t="str">
        <f>IF(ISBLANK(B53), "", IF(0&gt;=(B53-'Nurse Grid Dashboard'!$B$2), "EXPIRED", IF(AND((B53-'Nurse Grid Dashboard'!$B$2)&gt;0, (B53-'Nurse Grid Dashboard'!$B$2)&lt;=90), "EXPIRES SOON", "GOOD STANDING")))</f>
        <v/>
      </c>
      <c r="D53" s="55"/>
      <c r="E53" s="60"/>
      <c r="F53" s="60"/>
      <c r="G53" s="60"/>
      <c r="H53" s="70"/>
    </row>
    <row r="54" spans="1:8" ht="15.75" x14ac:dyDescent="0.25">
      <c r="A54" s="71"/>
      <c r="B54" s="54"/>
      <c r="C54" s="69" t="str">
        <f>IF(ISBLANK(B54), "", IF(0&gt;=(B54-'Nurse Grid Dashboard'!$B$2), "EXPIRED", IF(AND((B54-'Nurse Grid Dashboard'!$B$2)&gt;0, (B54-'Nurse Grid Dashboard'!$B$2)&lt;=90), "EXPIRES SOON", "GOOD STANDING")))</f>
        <v/>
      </c>
      <c r="D54" s="55"/>
      <c r="E54" s="60"/>
      <c r="F54" s="60"/>
      <c r="G54" s="60"/>
      <c r="H54" s="70"/>
    </row>
    <row r="55" spans="1:8" ht="15.75" x14ac:dyDescent="0.25">
      <c r="A55" s="71"/>
      <c r="B55" s="54"/>
      <c r="C55" s="69" t="str">
        <f>IF(ISBLANK(B55), "", IF(0&gt;=(B55-'Nurse Grid Dashboard'!$B$2), "EXPIRED", IF(AND((B55-'Nurse Grid Dashboard'!$B$2)&gt;0, (B55-'Nurse Grid Dashboard'!$B$2)&lt;=90), "EXPIRES SOON", "GOOD STANDING")))</f>
        <v/>
      </c>
      <c r="D55" s="55"/>
      <c r="E55" s="60"/>
      <c r="F55" s="60"/>
      <c r="G55" s="60"/>
      <c r="H55" s="70"/>
    </row>
    <row r="56" spans="1:8" ht="15.75" x14ac:dyDescent="0.25">
      <c r="A56" s="71"/>
      <c r="B56" s="54"/>
      <c r="C56" s="69" t="str">
        <f>IF(ISBLANK(B56), "", IF(0&gt;=(B56-'Nurse Grid Dashboard'!$B$2), "EXPIRED", IF(AND((B56-'Nurse Grid Dashboard'!$B$2)&gt;0, (B56-'Nurse Grid Dashboard'!$B$2)&lt;=90), "EXPIRES SOON", "GOOD STANDING")))</f>
        <v/>
      </c>
      <c r="D56" s="55"/>
      <c r="E56" s="60"/>
      <c r="F56" s="60"/>
      <c r="G56" s="60"/>
      <c r="H56" s="70"/>
    </row>
    <row r="57" spans="1:8" ht="16.5" thickBot="1" x14ac:dyDescent="0.3">
      <c r="A57" s="72"/>
      <c r="B57" s="73"/>
      <c r="C57" s="78" t="str">
        <f>IF(ISBLANK(B57), "", IF(0&gt;=(B57-'Nurse Grid Dashboard'!$B$2), "EXPIRED", IF(AND((B57-'Nurse Grid Dashboard'!$B$2)&gt;0, (B57-'Nurse Grid Dashboard'!$B$2)&lt;=90), "EXPIRES SOON", "GOOD STANDING")))</f>
        <v/>
      </c>
      <c r="D57" s="74"/>
      <c r="E57" s="75"/>
      <c r="F57" s="75"/>
      <c r="G57" s="75"/>
      <c r="H57" s="76"/>
    </row>
  </sheetData>
  <mergeCells count="14">
    <mergeCell ref="K13:L13"/>
    <mergeCell ref="H1:H2"/>
    <mergeCell ref="K7:L7"/>
    <mergeCell ref="K8:L8"/>
    <mergeCell ref="K9:L9"/>
    <mergeCell ref="K10:L10"/>
    <mergeCell ref="K11:L11"/>
    <mergeCell ref="K12:L12"/>
    <mergeCell ref="K6:L6"/>
    <mergeCell ref="B1:C1"/>
    <mergeCell ref="D1:F1"/>
    <mergeCell ref="G1:G2"/>
    <mergeCell ref="J1:L1"/>
    <mergeCell ref="J5:L5"/>
  </mergeCells>
  <conditionalFormatting sqref="C3:C57">
    <cfRule type="containsText" dxfId="119" priority="1" operator="containsText" text="EXPIRED">
      <formula>NOT(ISERROR(SEARCH("EXPIRED",C3)))</formula>
    </cfRule>
    <cfRule type="containsText" dxfId="118" priority="2" operator="containsText" text="GOOD STANDING">
      <formula>NOT(ISERROR(SEARCH("GOOD STANDING",C3)))</formula>
    </cfRule>
    <cfRule type="containsText" dxfId="117" priority="3" operator="containsText" text="EXPIRED">
      <formula>NOT(ISERROR(SEARCH("EXPIRED",C3)))</formula>
    </cfRule>
    <cfRule type="containsText" dxfId="116" priority="4" operator="containsText" text="EXPIRED">
      <formula>NOT(ISERROR(SEARCH("EXPIRED",C3)))</formula>
    </cfRule>
    <cfRule type="containsText" dxfId="115" priority="5" operator="containsText" text="EXPIRED">
      <formula>NOT(ISERROR(SEARCH("EXPIRED",C3)))</formula>
    </cfRule>
    <cfRule type="containsText" dxfId="114" priority="6" operator="containsText" text="EXPIRES SOON">
      <formula>NOT(ISERROR(SEARCH("EXPIRES SOON",C3)))</formula>
    </cfRule>
    <cfRule type="containsText" dxfId="113" priority="7" operator="containsText" text="GOOD STANDING">
      <formula>NOT(ISERROR(SEARCH("GOOD STANDING",C3)))</formula>
    </cfRule>
    <cfRule type="containsText" dxfId="112" priority="12" operator="containsText" text="EXPIRES SOON">
      <formula>NOT(ISERROR(SEARCH("EXPIRES SOON",C3)))</formula>
    </cfRule>
  </conditionalFormatting>
  <conditionalFormatting sqref="C14">
    <cfRule type="containsText" dxfId="111" priority="8" operator="containsText" text="GOOD STANDING">
      <formula>NOT(ISERROR(SEARCH("GOOD STANDING",C14)))</formula>
    </cfRule>
    <cfRule type="containsText" dxfId="110" priority="9" operator="containsText" text="GOOD$C$14">
      <formula>NOT(ISERROR(SEARCH("GOOD$C$14",C14)))</formula>
    </cfRule>
    <cfRule type="containsText" dxfId="109" priority="10" operator="containsText" text="GOOD$14:$14 STANDING">
      <formula>NOT(ISERROR(SEARCH("GOOD$14:$14 STANDING",C14)))</formula>
    </cfRule>
    <cfRule type="cellIs" dxfId="108" priority="11" operator="equal">
      <formula>"'GOOD STANDING"</formula>
    </cfRule>
  </conditionalFormatting>
  <hyperlinks>
    <hyperlink ref="K6" r:id="rId1" display="davidpeterkramer@outlook.com" xr:uid="{9B6F1D96-C8F5-4127-916F-D72B3F3275CE}"/>
    <hyperlink ref="K7" r:id="rId2" display="rileyanne1@ec.rr.com" xr:uid="{391BA989-E789-4299-942E-048B3A353752}"/>
    <hyperlink ref="G3" r:id="rId3" xr:uid="{2B4FF4F4-CE3C-400B-8726-036202A2C060}"/>
  </hyperlinks>
  <pageMargins left="0.7" right="0.7" top="0.75" bottom="0.75" header="0.3" footer="0.3"/>
  <pageSetup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C39D4-FEEA-4F30-9FAE-AF800D5C68D7}">
  <sheetPr codeName="Sheet6"/>
  <dimension ref="A1:Q57"/>
  <sheetViews>
    <sheetView topLeftCell="A3" zoomScaleNormal="100" workbookViewId="0">
      <selection activeCell="K7" sqref="K7:L7"/>
    </sheetView>
  </sheetViews>
  <sheetFormatPr defaultRowHeight="15" x14ac:dyDescent="0.25"/>
  <cols>
    <col min="1" max="1" width="28.28515625" customWidth="1"/>
    <col min="2" max="2" width="17.28515625" customWidth="1"/>
    <col min="3" max="3" width="23.28515625" customWidth="1"/>
    <col min="4" max="5" width="8.7109375" style="53" customWidth="1"/>
    <col min="6" max="6" width="8.85546875" style="53" customWidth="1"/>
    <col min="7" max="8" width="33.5703125" style="53" customWidth="1"/>
    <col min="9" max="9" width="9.42578125" style="53" customWidth="1"/>
    <col min="10" max="10" width="16.28515625" bestFit="1" customWidth="1"/>
    <col min="11" max="11" width="17.140625" customWidth="1"/>
    <col min="12" max="12" width="17.7109375" customWidth="1"/>
  </cols>
  <sheetData>
    <row r="1" spans="1:17" ht="23.65" customHeight="1" thickBot="1" x14ac:dyDescent="0.35">
      <c r="A1" s="64" t="s">
        <v>11</v>
      </c>
      <c r="B1" s="159" t="s">
        <v>3</v>
      </c>
      <c r="C1" s="160"/>
      <c r="D1" s="161" t="s">
        <v>22</v>
      </c>
      <c r="E1" s="162"/>
      <c r="F1" s="163"/>
      <c r="G1" s="154" t="s">
        <v>33</v>
      </c>
      <c r="H1" s="154" t="s">
        <v>48</v>
      </c>
      <c r="J1" s="156" t="s">
        <v>26</v>
      </c>
      <c r="K1" s="157"/>
      <c r="L1" s="158"/>
    </row>
    <row r="2" spans="1:17" ht="19.5" thickBot="1" x14ac:dyDescent="0.35">
      <c r="A2" s="94" t="s">
        <v>4</v>
      </c>
      <c r="B2" s="65" t="s">
        <v>0</v>
      </c>
      <c r="C2" s="61" t="s">
        <v>5</v>
      </c>
      <c r="D2" s="66" t="s">
        <v>23</v>
      </c>
      <c r="E2" s="67" t="s">
        <v>24</v>
      </c>
      <c r="F2" s="68" t="s">
        <v>25</v>
      </c>
      <c r="G2" s="155"/>
      <c r="H2" s="155"/>
      <c r="J2" s="84" t="s">
        <v>27</v>
      </c>
      <c r="K2" s="87" t="s">
        <v>28</v>
      </c>
      <c r="L2" s="85" t="s">
        <v>29</v>
      </c>
    </row>
    <row r="3" spans="1:17" ht="16.5" thickBot="1" x14ac:dyDescent="0.3">
      <c r="A3" s="108" t="s">
        <v>51</v>
      </c>
      <c r="B3" s="93">
        <v>45535</v>
      </c>
      <c r="C3" s="69" t="str">
        <f ca="1">IF(ISBLANK(B3), "", IF(0&gt;=(B3-'Nurse Grid Dashboard'!$B$2), "EXPIRED", IF(AND((B3-'Nurse Grid Dashboard'!$B$2)&gt;0, (B3-'Nurse Grid Dashboard'!$B$2)&lt;=90), "EXPIRES SOON", "GOOD STANDING")))</f>
        <v>EXPIRED</v>
      </c>
      <c r="D3" s="56"/>
      <c r="E3" s="59"/>
      <c r="F3" s="60"/>
      <c r="G3" s="80" t="s">
        <v>34</v>
      </c>
      <c r="H3" s="109"/>
      <c r="J3" s="82">
        <f ca="1">COUNTIF(C3:C57, "*good standing*")</f>
        <v>0</v>
      </c>
      <c r="K3" s="86">
        <f ca="1">COUNTIF(C3:C57, "*expires soon*")</f>
        <v>0</v>
      </c>
      <c r="L3" s="83">
        <f ca="1">COUNTIF(C3:C57, "*expired*")</f>
        <v>1</v>
      </c>
    </row>
    <row r="4" spans="1:17" ht="16.5" thickBot="1" x14ac:dyDescent="0.3">
      <c r="A4" s="106"/>
      <c r="B4" s="93"/>
      <c r="C4" s="69"/>
      <c r="D4" s="55"/>
      <c r="E4" s="60"/>
      <c r="F4" s="60"/>
      <c r="G4" s="97"/>
      <c r="H4" s="96"/>
    </row>
    <row r="5" spans="1:17" ht="18.75" x14ac:dyDescent="0.3">
      <c r="A5" s="106"/>
      <c r="B5" s="93"/>
      <c r="C5" s="69"/>
      <c r="D5" s="55"/>
      <c r="E5" s="60"/>
      <c r="F5" s="60"/>
      <c r="G5" s="97"/>
      <c r="H5" s="96"/>
      <c r="J5" s="164" t="s">
        <v>30</v>
      </c>
      <c r="K5" s="165"/>
      <c r="L5" s="166"/>
    </row>
    <row r="6" spans="1:17" ht="15.75" x14ac:dyDescent="0.25">
      <c r="A6" s="106"/>
      <c r="B6" s="93"/>
      <c r="C6" s="69"/>
      <c r="D6" s="55"/>
      <c r="E6" s="60"/>
      <c r="F6" s="60"/>
      <c r="G6" s="97"/>
      <c r="H6" s="96"/>
      <c r="J6" s="81" t="s">
        <v>31</v>
      </c>
      <c r="K6" s="152" t="s">
        <v>34</v>
      </c>
      <c r="L6" s="153"/>
    </row>
    <row r="7" spans="1:17" ht="15.75" x14ac:dyDescent="0.25">
      <c r="A7" s="106"/>
      <c r="B7" s="93"/>
      <c r="C7" s="69"/>
      <c r="D7" s="55"/>
      <c r="E7" s="60"/>
      <c r="F7" s="60"/>
      <c r="G7" s="97"/>
      <c r="H7" s="96"/>
      <c r="J7" s="81" t="s">
        <v>32</v>
      </c>
      <c r="K7" s="152" t="s">
        <v>34</v>
      </c>
      <c r="L7" s="153"/>
    </row>
    <row r="8" spans="1:17" ht="15.75" x14ac:dyDescent="0.25">
      <c r="A8" s="106"/>
      <c r="B8" s="93"/>
      <c r="C8" s="69"/>
      <c r="D8" s="55"/>
      <c r="E8" s="60"/>
      <c r="F8" s="60"/>
      <c r="G8" s="97"/>
      <c r="H8" s="96"/>
      <c r="J8" s="81" t="s">
        <v>35</v>
      </c>
      <c r="K8" s="148" t="s">
        <v>40</v>
      </c>
      <c r="L8" s="149"/>
    </row>
    <row r="9" spans="1:17" ht="15.75" x14ac:dyDescent="0.25">
      <c r="A9" s="106"/>
      <c r="B9" s="93"/>
      <c r="C9" s="69"/>
      <c r="D9" s="55"/>
      <c r="E9" s="60"/>
      <c r="F9" s="60"/>
      <c r="G9" s="97"/>
      <c r="H9" s="96"/>
      <c r="J9" s="81" t="s">
        <v>36</v>
      </c>
      <c r="K9" s="148" t="s">
        <v>41</v>
      </c>
      <c r="L9" s="149"/>
    </row>
    <row r="10" spans="1:17" ht="15.75" x14ac:dyDescent="0.25">
      <c r="A10" s="106"/>
      <c r="B10" s="93"/>
      <c r="C10" s="69"/>
      <c r="D10" s="55"/>
      <c r="E10" s="60"/>
      <c r="F10" s="60"/>
      <c r="G10" s="97"/>
      <c r="H10" s="96"/>
      <c r="J10" s="81" t="s">
        <v>39</v>
      </c>
      <c r="K10" s="148" t="s">
        <v>42</v>
      </c>
      <c r="L10" s="149"/>
    </row>
    <row r="11" spans="1:17" ht="15.6" customHeight="1" x14ac:dyDescent="0.25">
      <c r="A11" s="106"/>
      <c r="B11" s="93"/>
      <c r="C11" s="69"/>
      <c r="D11" s="55"/>
      <c r="E11" s="60"/>
      <c r="F11" s="60"/>
      <c r="G11" s="97"/>
      <c r="H11" s="96"/>
      <c r="I11" s="62"/>
      <c r="J11" s="81" t="s">
        <v>37</v>
      </c>
      <c r="K11" s="148" t="s">
        <v>43</v>
      </c>
      <c r="L11" s="149"/>
      <c r="M11" s="57"/>
      <c r="N11" s="57"/>
      <c r="O11" s="57"/>
      <c r="P11" s="57"/>
      <c r="Q11" s="57"/>
    </row>
    <row r="12" spans="1:17" ht="15.75" x14ac:dyDescent="0.25">
      <c r="A12" s="106"/>
      <c r="B12" s="93"/>
      <c r="C12" s="69"/>
      <c r="D12" s="55"/>
      <c r="E12" s="60"/>
      <c r="F12" s="60"/>
      <c r="G12" s="97"/>
      <c r="H12" s="96"/>
      <c r="I12" s="62"/>
      <c r="J12" s="88" t="s">
        <v>38</v>
      </c>
      <c r="K12" s="148" t="s">
        <v>44</v>
      </c>
      <c r="L12" s="149"/>
      <c r="M12" s="57"/>
      <c r="N12" s="57"/>
      <c r="O12" s="57"/>
      <c r="P12" s="57"/>
      <c r="Q12" s="57"/>
    </row>
    <row r="13" spans="1:17" ht="16.5" thickBot="1" x14ac:dyDescent="0.3">
      <c r="A13" s="106"/>
      <c r="B13" s="93"/>
      <c r="C13" s="69"/>
      <c r="D13" s="55"/>
      <c r="E13" s="60"/>
      <c r="F13" s="60"/>
      <c r="G13" s="97"/>
      <c r="H13" s="96"/>
      <c r="I13" s="62"/>
      <c r="J13" s="89" t="s">
        <v>46</v>
      </c>
      <c r="K13" s="150" t="s">
        <v>45</v>
      </c>
      <c r="L13" s="151"/>
      <c r="M13" s="57"/>
      <c r="N13" s="57"/>
      <c r="O13" s="57"/>
      <c r="P13" s="57"/>
      <c r="Q13" s="57"/>
    </row>
    <row r="14" spans="1:17" ht="15.75" x14ac:dyDescent="0.25">
      <c r="A14" s="106"/>
      <c r="B14" s="93"/>
      <c r="C14" s="69"/>
      <c r="D14" s="55"/>
      <c r="E14" s="60"/>
      <c r="F14" s="60"/>
      <c r="G14" s="97"/>
      <c r="H14" s="96"/>
      <c r="I14" s="62"/>
      <c r="J14" s="57"/>
      <c r="K14" s="57"/>
      <c r="L14" s="57"/>
      <c r="M14" s="57"/>
      <c r="N14" s="57"/>
      <c r="O14" s="57"/>
      <c r="P14" s="57"/>
      <c r="Q14" s="57"/>
    </row>
    <row r="15" spans="1:17" ht="15.75" x14ac:dyDescent="0.25">
      <c r="A15" s="106"/>
      <c r="B15" s="93"/>
      <c r="C15" s="69"/>
      <c r="D15" s="55"/>
      <c r="E15" s="60"/>
      <c r="F15" s="60"/>
      <c r="G15" s="97"/>
      <c r="H15" s="96"/>
    </row>
    <row r="16" spans="1:17" ht="15.75" x14ac:dyDescent="0.25">
      <c r="A16" s="106"/>
      <c r="B16" s="93"/>
      <c r="C16" s="69"/>
      <c r="D16" s="55"/>
      <c r="E16" s="60"/>
      <c r="F16" s="60"/>
      <c r="G16" s="97"/>
      <c r="H16" s="96"/>
    </row>
    <row r="17" spans="1:17" ht="15.75" x14ac:dyDescent="0.25">
      <c r="A17" s="106"/>
      <c r="B17" s="93"/>
      <c r="C17" s="69"/>
      <c r="D17" s="55"/>
      <c r="E17" s="60"/>
      <c r="F17" s="60"/>
      <c r="G17" s="97"/>
      <c r="H17" s="96"/>
    </row>
    <row r="18" spans="1:17" ht="15.75" x14ac:dyDescent="0.25">
      <c r="A18" s="106"/>
      <c r="B18" s="93"/>
      <c r="C18" s="69"/>
      <c r="D18" s="55"/>
      <c r="E18" s="60"/>
      <c r="F18" s="60"/>
      <c r="G18" s="97"/>
      <c r="H18" s="96"/>
    </row>
    <row r="19" spans="1:17" ht="15.75" x14ac:dyDescent="0.25">
      <c r="A19" s="106"/>
      <c r="B19" s="93"/>
      <c r="C19" s="69"/>
      <c r="D19" s="55"/>
      <c r="E19" s="60"/>
      <c r="F19" s="60"/>
      <c r="G19" s="97"/>
      <c r="H19" s="96"/>
    </row>
    <row r="20" spans="1:17" ht="15.75" x14ac:dyDescent="0.25">
      <c r="A20" s="106"/>
      <c r="B20" s="93"/>
      <c r="C20" s="69"/>
      <c r="D20" s="55"/>
      <c r="E20" s="60"/>
      <c r="F20" s="77"/>
      <c r="G20" s="97"/>
      <c r="H20" s="96"/>
      <c r="I20" s="63"/>
      <c r="J20" s="58"/>
      <c r="K20" s="58"/>
      <c r="L20" s="58"/>
      <c r="M20" s="58"/>
      <c r="N20" s="58"/>
      <c r="O20" s="58"/>
      <c r="P20" s="58"/>
      <c r="Q20" s="58"/>
    </row>
    <row r="21" spans="1:17" ht="15.75" x14ac:dyDescent="0.25">
      <c r="A21" s="106"/>
      <c r="B21" s="93"/>
      <c r="C21" s="69"/>
      <c r="D21" s="55"/>
      <c r="E21" s="60"/>
      <c r="F21" s="77"/>
      <c r="G21" s="97"/>
      <c r="H21" s="96"/>
      <c r="I21" s="63"/>
      <c r="J21" s="58"/>
      <c r="K21" s="58"/>
      <c r="L21" s="58"/>
      <c r="M21" s="58"/>
      <c r="N21" s="58"/>
      <c r="O21" s="58"/>
      <c r="P21" s="58"/>
      <c r="Q21" s="58"/>
    </row>
    <row r="22" spans="1:17" ht="15.75" x14ac:dyDescent="0.25">
      <c r="A22" s="106"/>
      <c r="B22" s="93"/>
      <c r="C22" s="69"/>
      <c r="D22" s="55"/>
      <c r="E22" s="60"/>
      <c r="F22" s="77"/>
      <c r="G22" s="97"/>
      <c r="H22" s="96"/>
      <c r="I22" s="63"/>
      <c r="J22" s="58"/>
      <c r="K22" s="58"/>
      <c r="L22" s="58"/>
      <c r="M22" s="58"/>
      <c r="N22" s="58"/>
      <c r="O22" s="58"/>
      <c r="P22" s="58"/>
      <c r="Q22" s="58"/>
    </row>
    <row r="23" spans="1:17" ht="15.75" x14ac:dyDescent="0.25">
      <c r="A23" s="106"/>
      <c r="B23" s="93"/>
      <c r="C23" s="69"/>
      <c r="D23" s="55"/>
      <c r="E23" s="60"/>
      <c r="F23" s="77"/>
      <c r="G23" s="97"/>
      <c r="H23" s="96"/>
      <c r="I23" s="63"/>
      <c r="J23" s="58"/>
      <c r="K23" s="58"/>
      <c r="L23" s="58"/>
      <c r="M23" s="58"/>
      <c r="N23" s="58"/>
      <c r="O23" s="58"/>
      <c r="P23" s="58"/>
      <c r="Q23" s="58"/>
    </row>
    <row r="24" spans="1:17" ht="15.75" x14ac:dyDescent="0.25">
      <c r="A24" s="106"/>
      <c r="B24" s="93"/>
      <c r="C24" s="69"/>
      <c r="D24" s="55"/>
      <c r="E24" s="60"/>
      <c r="F24" s="60"/>
      <c r="G24" s="97"/>
      <c r="H24" s="96"/>
    </row>
    <row r="25" spans="1:17" ht="15.75" x14ac:dyDescent="0.25">
      <c r="A25" s="106"/>
      <c r="B25" s="93"/>
      <c r="C25" s="69"/>
      <c r="D25" s="55"/>
      <c r="E25" s="60"/>
      <c r="F25" s="60"/>
      <c r="G25" s="97"/>
      <c r="H25" s="96"/>
    </row>
    <row r="26" spans="1:17" ht="15.75" x14ac:dyDescent="0.25">
      <c r="A26" s="106"/>
      <c r="B26" s="93"/>
      <c r="C26" s="69"/>
      <c r="D26" s="55"/>
      <c r="E26" s="60"/>
      <c r="F26" s="60"/>
      <c r="G26" s="97"/>
      <c r="H26" s="96"/>
    </row>
    <row r="27" spans="1:17" ht="15.75" x14ac:dyDescent="0.25">
      <c r="A27" s="106"/>
      <c r="B27" s="93"/>
      <c r="C27" s="69"/>
      <c r="D27" s="55"/>
      <c r="E27" s="60"/>
      <c r="F27" s="60"/>
      <c r="G27" s="97"/>
      <c r="H27" s="96"/>
    </row>
    <row r="28" spans="1:17" ht="15.75" x14ac:dyDescent="0.25">
      <c r="A28" s="106"/>
      <c r="B28" s="93"/>
      <c r="C28" s="69"/>
      <c r="D28" s="55"/>
      <c r="E28" s="60"/>
      <c r="F28" s="60"/>
      <c r="G28" s="97"/>
      <c r="H28" s="96"/>
    </row>
    <row r="29" spans="1:17" ht="15.75" x14ac:dyDescent="0.25">
      <c r="A29" s="106"/>
      <c r="B29" s="93"/>
      <c r="C29" s="69"/>
      <c r="D29" s="55"/>
      <c r="E29" s="60"/>
      <c r="F29" s="60"/>
      <c r="G29" s="97"/>
      <c r="H29" s="96"/>
    </row>
    <row r="30" spans="1:17" ht="15.75" x14ac:dyDescent="0.25">
      <c r="A30" s="106"/>
      <c r="B30" s="93"/>
      <c r="C30" s="69"/>
      <c r="D30" s="55"/>
      <c r="E30" s="60"/>
      <c r="F30" s="60"/>
      <c r="G30" s="97"/>
      <c r="H30" s="96"/>
    </row>
    <row r="31" spans="1:17" ht="15.75" x14ac:dyDescent="0.25">
      <c r="A31" s="106"/>
      <c r="B31" s="93"/>
      <c r="C31" s="69"/>
      <c r="D31" s="55"/>
      <c r="E31" s="60"/>
      <c r="F31" s="60"/>
      <c r="G31" s="97"/>
      <c r="H31" s="96"/>
    </row>
    <row r="32" spans="1:17" ht="15.75" x14ac:dyDescent="0.25">
      <c r="A32" s="106"/>
      <c r="B32" s="93"/>
      <c r="C32" s="69"/>
      <c r="D32" s="55"/>
      <c r="E32" s="60"/>
      <c r="F32" s="60"/>
      <c r="G32" s="97"/>
      <c r="H32" s="96"/>
    </row>
    <row r="33" spans="1:8" ht="15.75" x14ac:dyDescent="0.25">
      <c r="A33" s="106"/>
      <c r="B33" s="93"/>
      <c r="C33" s="69"/>
      <c r="D33" s="55"/>
      <c r="E33" s="60"/>
      <c r="F33" s="60"/>
      <c r="G33" s="97"/>
      <c r="H33" s="96"/>
    </row>
    <row r="34" spans="1:8" ht="15.75" x14ac:dyDescent="0.25">
      <c r="A34" s="106"/>
      <c r="B34" s="96"/>
      <c r="C34" s="69"/>
      <c r="D34" s="55"/>
      <c r="E34" s="60"/>
      <c r="F34" s="60"/>
      <c r="G34" s="60"/>
      <c r="H34" s="70"/>
    </row>
    <row r="35" spans="1:8" ht="15.75" x14ac:dyDescent="0.25">
      <c r="A35" s="106"/>
      <c r="B35" s="96"/>
      <c r="C35" s="69"/>
      <c r="D35" s="55"/>
      <c r="E35" s="60"/>
      <c r="F35" s="60"/>
      <c r="G35" s="60"/>
      <c r="H35" s="70"/>
    </row>
    <row r="36" spans="1:8" ht="15.75" x14ac:dyDescent="0.25">
      <c r="A36" s="106"/>
      <c r="B36" s="96"/>
      <c r="C36" s="69" t="str">
        <f>IF(ISBLANK(B36), "", IF(0&gt;=(B36-'Nurse Grid Dashboard'!$B$2), "EXPIRED", IF(AND((B36-'Nurse Grid Dashboard'!$B$2)&gt;0, (B36-'Nurse Grid Dashboard'!$B$2)&lt;=90), "EXPIRES SOON", "GOOD STANDING")))</f>
        <v/>
      </c>
      <c r="D36" s="55"/>
      <c r="E36" s="60"/>
      <c r="F36" s="60"/>
      <c r="G36" s="60"/>
      <c r="H36" s="70"/>
    </row>
    <row r="37" spans="1:8" ht="15.75" x14ac:dyDescent="0.25">
      <c r="A37" s="106"/>
      <c r="B37" s="96"/>
      <c r="C37" s="69" t="str">
        <f>IF(ISBLANK(B37), "", IF(0&gt;=(B37-'Nurse Grid Dashboard'!$B$2), "EXPIRED", IF(AND((B37-'Nurse Grid Dashboard'!$B$2)&gt;0, (B37-'Nurse Grid Dashboard'!$B$2)&lt;=90), "EXPIRES SOON", "GOOD STANDING")))</f>
        <v/>
      </c>
      <c r="D37" s="55"/>
      <c r="E37" s="60"/>
      <c r="F37" s="60"/>
      <c r="G37" s="60"/>
      <c r="H37" s="70"/>
    </row>
    <row r="38" spans="1:8" ht="15.75" x14ac:dyDescent="0.25">
      <c r="A38" s="106"/>
      <c r="B38" s="54"/>
      <c r="C38" s="69" t="str">
        <f>IF(ISBLANK(B38), "", IF(0&gt;=(B38-'Nurse Grid Dashboard'!$B$2), "EXPIRED", IF(AND((B38-'Nurse Grid Dashboard'!$B$2)&gt;0, (B38-'Nurse Grid Dashboard'!$B$2)&lt;=90), "EXPIRES SOON", "GOOD STANDING")))</f>
        <v/>
      </c>
      <c r="D38" s="55"/>
      <c r="E38" s="60"/>
      <c r="F38" s="60"/>
      <c r="G38" s="60"/>
      <c r="H38" s="70"/>
    </row>
    <row r="39" spans="1:8" ht="15.75" x14ac:dyDescent="0.25">
      <c r="A39" s="71"/>
      <c r="B39" s="54"/>
      <c r="C39" s="69" t="str">
        <f>IF(ISBLANK(B39), "", IF(0&gt;=(B39-'Nurse Grid Dashboard'!$B$2), "EXPIRED", IF(AND((B39-'Nurse Grid Dashboard'!$B$2)&gt;0, (B39-'Nurse Grid Dashboard'!$B$2)&lt;=90), "EXPIRES SOON", "GOOD STANDING")))</f>
        <v/>
      </c>
      <c r="D39" s="55"/>
      <c r="E39" s="60"/>
      <c r="F39" s="60"/>
      <c r="G39" s="60"/>
      <c r="H39" s="70"/>
    </row>
    <row r="40" spans="1:8" ht="15.75" x14ac:dyDescent="0.25">
      <c r="A40" s="71"/>
      <c r="B40" s="54"/>
      <c r="C40" s="69" t="str">
        <f>IF(ISBLANK(B40), "", IF(0&gt;=(B40-'Nurse Grid Dashboard'!$B$2), "EXPIRED", IF(AND((B40-'Nurse Grid Dashboard'!$B$2)&gt;0, (B40-'Nurse Grid Dashboard'!$B$2)&lt;=90), "EXPIRES SOON", "GOOD STANDING")))</f>
        <v/>
      </c>
      <c r="D40" s="55"/>
      <c r="E40" s="60"/>
      <c r="F40" s="60"/>
      <c r="G40" s="60"/>
      <c r="H40" s="70"/>
    </row>
    <row r="41" spans="1:8" ht="15.75" x14ac:dyDescent="0.25">
      <c r="A41" s="71"/>
      <c r="B41" s="54"/>
      <c r="C41" s="69" t="str">
        <f>IF(ISBLANK(B41), "", IF(0&gt;=(B41-'Nurse Grid Dashboard'!$B$2), "EXPIRED", IF(AND((B41-'Nurse Grid Dashboard'!$B$2)&gt;0, (B41-'Nurse Grid Dashboard'!$B$2)&lt;=90), "EXPIRES SOON", "GOOD STANDING")))</f>
        <v/>
      </c>
      <c r="D41" s="55"/>
      <c r="E41" s="60"/>
      <c r="F41" s="60"/>
      <c r="G41" s="60"/>
      <c r="H41" s="70"/>
    </row>
    <row r="42" spans="1:8" ht="15.75" x14ac:dyDescent="0.25">
      <c r="A42" s="71"/>
      <c r="B42" s="54"/>
      <c r="C42" s="69" t="str">
        <f>IF(ISBLANK(B42), "", IF(0&gt;=(B42-'Nurse Grid Dashboard'!$B$2), "EXPIRED", IF(AND((B42-'Nurse Grid Dashboard'!$B$2)&gt;0, (B42-'Nurse Grid Dashboard'!$B$2)&lt;=90), "EXPIRES SOON", "GOOD STANDING")))</f>
        <v/>
      </c>
      <c r="D42" s="55"/>
      <c r="E42" s="60"/>
      <c r="F42" s="60"/>
      <c r="G42" s="60"/>
      <c r="H42" s="70"/>
    </row>
    <row r="43" spans="1:8" ht="15.75" x14ac:dyDescent="0.25">
      <c r="A43" s="71"/>
      <c r="B43" s="54"/>
      <c r="C43" s="69" t="str">
        <f>IF(ISBLANK(B43), "", IF(0&gt;=(B43-'Nurse Grid Dashboard'!$B$2), "EXPIRED", IF(AND((B43-'Nurse Grid Dashboard'!$B$2)&gt;0, (B43-'Nurse Grid Dashboard'!$B$2)&lt;=90), "EXPIRES SOON", "GOOD STANDING")))</f>
        <v/>
      </c>
      <c r="D43" s="55"/>
      <c r="E43" s="60"/>
      <c r="F43" s="60"/>
      <c r="G43" s="60"/>
      <c r="H43" s="70"/>
    </row>
    <row r="44" spans="1:8" ht="15.75" x14ac:dyDescent="0.25">
      <c r="A44" s="71"/>
      <c r="B44" s="54"/>
      <c r="C44" s="69" t="str">
        <f>IF(ISBLANK(B44), "", IF(0&gt;=(B44-'Nurse Grid Dashboard'!$B$2), "EXPIRED", IF(AND((B44-'Nurse Grid Dashboard'!$B$2)&gt;0, (B44-'Nurse Grid Dashboard'!$B$2)&lt;=90), "EXPIRES SOON", "GOOD STANDING")))</f>
        <v/>
      </c>
      <c r="D44" s="55"/>
      <c r="E44" s="60"/>
      <c r="F44" s="60"/>
      <c r="G44" s="60"/>
      <c r="H44" s="70"/>
    </row>
    <row r="45" spans="1:8" ht="15.75" x14ac:dyDescent="0.25">
      <c r="A45" s="71"/>
      <c r="B45" s="54"/>
      <c r="C45" s="69" t="str">
        <f>IF(ISBLANK(B45), "", IF(0&gt;=(B45-'Nurse Grid Dashboard'!$B$2), "EXPIRED", IF(AND((B45-'Nurse Grid Dashboard'!$B$2)&gt;0, (B45-'Nurse Grid Dashboard'!$B$2)&lt;=90), "EXPIRES SOON", "GOOD STANDING")))</f>
        <v/>
      </c>
      <c r="D45" s="55"/>
      <c r="E45" s="60"/>
      <c r="F45" s="60"/>
      <c r="G45" s="60"/>
      <c r="H45" s="70"/>
    </row>
    <row r="46" spans="1:8" ht="15.75" x14ac:dyDescent="0.25">
      <c r="A46" s="71"/>
      <c r="B46" s="54"/>
      <c r="C46" s="69" t="str">
        <f>IF(ISBLANK(B46), "", IF(0&gt;=(B46-'Nurse Grid Dashboard'!$B$2), "EXPIRED", IF(AND((B46-'Nurse Grid Dashboard'!$B$2)&gt;0, (B46-'Nurse Grid Dashboard'!$B$2)&lt;=90), "EXPIRES SOON", "GOOD STANDING")))</f>
        <v/>
      </c>
      <c r="D46" s="55"/>
      <c r="E46" s="60"/>
      <c r="F46" s="60"/>
      <c r="G46" s="60"/>
      <c r="H46" s="70"/>
    </row>
    <row r="47" spans="1:8" ht="15.75" x14ac:dyDescent="0.25">
      <c r="A47" s="71"/>
      <c r="B47" s="54"/>
      <c r="C47" s="69" t="str">
        <f>IF(ISBLANK(B47), "", IF(0&gt;=(B47-'Nurse Grid Dashboard'!$B$2), "EXPIRED", IF(AND((B47-'Nurse Grid Dashboard'!$B$2)&gt;0, (B47-'Nurse Grid Dashboard'!$B$2)&lt;=90), "EXPIRES SOON", "GOOD STANDING")))</f>
        <v/>
      </c>
      <c r="D47" s="55"/>
      <c r="E47" s="60"/>
      <c r="F47" s="60"/>
      <c r="G47" s="60"/>
      <c r="H47" s="70"/>
    </row>
    <row r="48" spans="1:8" ht="15.75" x14ac:dyDescent="0.25">
      <c r="A48" s="71"/>
      <c r="B48" s="54"/>
      <c r="C48" s="69" t="str">
        <f>IF(ISBLANK(B48), "", IF(0&gt;=(B48-'Nurse Grid Dashboard'!$B$2), "EXPIRED", IF(AND((B48-'Nurse Grid Dashboard'!$B$2)&gt;0, (B48-'Nurse Grid Dashboard'!$B$2)&lt;=90), "EXPIRES SOON", "GOOD STANDING")))</f>
        <v/>
      </c>
      <c r="D48" s="55"/>
      <c r="E48" s="60"/>
      <c r="F48" s="60"/>
      <c r="G48" s="60"/>
      <c r="H48" s="70"/>
    </row>
    <row r="49" spans="1:8" ht="15.75" x14ac:dyDescent="0.25">
      <c r="A49" s="71"/>
      <c r="B49" s="54"/>
      <c r="C49" s="69" t="str">
        <f>IF(ISBLANK(B49), "", IF(0&gt;=(B49-'Nurse Grid Dashboard'!$B$2), "EXPIRED", IF(AND((B49-'Nurse Grid Dashboard'!$B$2)&gt;0, (B49-'Nurse Grid Dashboard'!$B$2)&lt;=90), "EXPIRES SOON", "GOOD STANDING")))</f>
        <v/>
      </c>
      <c r="D49" s="55"/>
      <c r="E49" s="60"/>
      <c r="F49" s="60"/>
      <c r="G49" s="60"/>
      <c r="H49" s="70"/>
    </row>
    <row r="50" spans="1:8" ht="15.75" x14ac:dyDescent="0.25">
      <c r="A50" s="71"/>
      <c r="B50" s="54"/>
      <c r="C50" s="69" t="str">
        <f>IF(ISBLANK(B50), "", IF(0&gt;=(B50-'Nurse Grid Dashboard'!$B$2), "EXPIRED", IF(AND((B50-'Nurse Grid Dashboard'!$B$2)&gt;0, (B50-'Nurse Grid Dashboard'!$B$2)&lt;=90), "EXPIRES SOON", "GOOD STANDING")))</f>
        <v/>
      </c>
      <c r="D50" s="55"/>
      <c r="E50" s="60"/>
      <c r="F50" s="60"/>
      <c r="G50" s="60"/>
      <c r="H50" s="70"/>
    </row>
    <row r="51" spans="1:8" ht="15.75" x14ac:dyDescent="0.25">
      <c r="A51" s="71"/>
      <c r="B51" s="54"/>
      <c r="C51" s="69" t="str">
        <f>IF(ISBLANK(B51), "", IF(0&gt;=(B51-'Nurse Grid Dashboard'!$B$2), "EXPIRED", IF(AND((B51-'Nurse Grid Dashboard'!$B$2)&gt;0, (B51-'Nurse Grid Dashboard'!$B$2)&lt;=90), "EXPIRES SOON", "GOOD STANDING")))</f>
        <v/>
      </c>
      <c r="D51" s="55"/>
      <c r="E51" s="60"/>
      <c r="F51" s="60"/>
      <c r="G51" s="60"/>
      <c r="H51" s="70"/>
    </row>
    <row r="52" spans="1:8" ht="15.75" x14ac:dyDescent="0.25">
      <c r="A52" s="71"/>
      <c r="B52" s="54"/>
      <c r="C52" s="69" t="str">
        <f>IF(ISBLANK(B52), "", IF(0&gt;=(B52-'Nurse Grid Dashboard'!$B$2), "EXPIRED", IF(AND((B52-'Nurse Grid Dashboard'!$B$2)&gt;0, (B52-'Nurse Grid Dashboard'!$B$2)&lt;=90), "EXPIRES SOON", "GOOD STANDING")))</f>
        <v/>
      </c>
      <c r="D52" s="55"/>
      <c r="E52" s="60"/>
      <c r="F52" s="60"/>
      <c r="G52" s="60"/>
      <c r="H52" s="70"/>
    </row>
    <row r="53" spans="1:8" ht="15.75" x14ac:dyDescent="0.25">
      <c r="A53" s="71"/>
      <c r="B53" s="54"/>
      <c r="C53" s="69" t="str">
        <f>IF(ISBLANK(B53), "", IF(0&gt;=(B53-'Nurse Grid Dashboard'!$B$2), "EXPIRED", IF(AND((B53-'Nurse Grid Dashboard'!$B$2)&gt;0, (B53-'Nurse Grid Dashboard'!$B$2)&lt;=90), "EXPIRES SOON", "GOOD STANDING")))</f>
        <v/>
      </c>
      <c r="D53" s="55"/>
      <c r="E53" s="60"/>
      <c r="F53" s="60"/>
      <c r="G53" s="60"/>
      <c r="H53" s="70"/>
    </row>
    <row r="54" spans="1:8" ht="15.75" x14ac:dyDescent="0.25">
      <c r="A54" s="71"/>
      <c r="B54" s="54"/>
      <c r="C54" s="69" t="str">
        <f>IF(ISBLANK(B54), "", IF(0&gt;=(B54-'Nurse Grid Dashboard'!$B$2), "EXPIRED", IF(AND((B54-'Nurse Grid Dashboard'!$B$2)&gt;0, (B54-'Nurse Grid Dashboard'!$B$2)&lt;=90), "EXPIRES SOON", "GOOD STANDING")))</f>
        <v/>
      </c>
      <c r="D54" s="55"/>
      <c r="E54" s="60"/>
      <c r="F54" s="60"/>
      <c r="G54" s="60"/>
      <c r="H54" s="70"/>
    </row>
    <row r="55" spans="1:8" ht="15.75" x14ac:dyDescent="0.25">
      <c r="A55" s="71"/>
      <c r="B55" s="54"/>
      <c r="C55" s="69" t="str">
        <f>IF(ISBLANK(B55), "", IF(0&gt;=(B55-'Nurse Grid Dashboard'!$B$2), "EXPIRED", IF(AND((B55-'Nurse Grid Dashboard'!$B$2)&gt;0, (B55-'Nurse Grid Dashboard'!$B$2)&lt;=90), "EXPIRES SOON", "GOOD STANDING")))</f>
        <v/>
      </c>
      <c r="D55" s="55"/>
      <c r="E55" s="60"/>
      <c r="F55" s="60"/>
      <c r="G55" s="60"/>
      <c r="H55" s="70"/>
    </row>
    <row r="56" spans="1:8" ht="15.75" x14ac:dyDescent="0.25">
      <c r="A56" s="71"/>
      <c r="B56" s="54"/>
      <c r="C56" s="69" t="str">
        <f>IF(ISBLANK(B56), "", IF(0&gt;=(B56-'Nurse Grid Dashboard'!$B$2), "EXPIRED", IF(AND((B56-'Nurse Grid Dashboard'!$B$2)&gt;0, (B56-'Nurse Grid Dashboard'!$B$2)&lt;=90), "EXPIRES SOON", "GOOD STANDING")))</f>
        <v/>
      </c>
      <c r="D56" s="55"/>
      <c r="E56" s="60"/>
      <c r="F56" s="60"/>
      <c r="G56" s="60"/>
      <c r="H56" s="70"/>
    </row>
    <row r="57" spans="1:8" ht="16.5" thickBot="1" x14ac:dyDescent="0.3">
      <c r="A57" s="72"/>
      <c r="B57" s="73"/>
      <c r="C57" s="78" t="str">
        <f>IF(ISBLANK(B57), "", IF(0&gt;=(B57-'Nurse Grid Dashboard'!$B$2), "EXPIRED", IF(AND((B57-'Nurse Grid Dashboard'!$B$2)&gt;0, (B57-'Nurse Grid Dashboard'!$B$2)&lt;=90), "EXPIRES SOON", "GOOD STANDING")))</f>
        <v/>
      </c>
      <c r="D57" s="74"/>
      <c r="E57" s="75"/>
      <c r="F57" s="75"/>
      <c r="G57" s="75"/>
      <c r="H57" s="76"/>
    </row>
  </sheetData>
  <mergeCells count="14">
    <mergeCell ref="K13:L13"/>
    <mergeCell ref="H1:H2"/>
    <mergeCell ref="K7:L7"/>
    <mergeCell ref="K8:L8"/>
    <mergeCell ref="K9:L9"/>
    <mergeCell ref="K10:L10"/>
    <mergeCell ref="K11:L11"/>
    <mergeCell ref="K12:L12"/>
    <mergeCell ref="K6:L6"/>
    <mergeCell ref="B1:C1"/>
    <mergeCell ref="D1:F1"/>
    <mergeCell ref="G1:G2"/>
    <mergeCell ref="J1:L1"/>
    <mergeCell ref="J5:L5"/>
  </mergeCells>
  <conditionalFormatting sqref="C3:C57">
    <cfRule type="containsText" dxfId="107" priority="1" operator="containsText" text="EXPIRED">
      <formula>NOT(ISERROR(SEARCH("EXPIRED",C3)))</formula>
    </cfRule>
    <cfRule type="containsText" dxfId="106" priority="2" operator="containsText" text="GOOD STANDING">
      <formula>NOT(ISERROR(SEARCH("GOOD STANDING",C3)))</formula>
    </cfRule>
    <cfRule type="containsText" dxfId="105" priority="3" operator="containsText" text="EXPIRED">
      <formula>NOT(ISERROR(SEARCH("EXPIRED",C3)))</formula>
    </cfRule>
    <cfRule type="containsText" dxfId="104" priority="4" operator="containsText" text="EXPIRED">
      <formula>NOT(ISERROR(SEARCH("EXPIRED",C3)))</formula>
    </cfRule>
    <cfRule type="containsText" dxfId="103" priority="5" operator="containsText" text="EXPIRED">
      <formula>NOT(ISERROR(SEARCH("EXPIRED",C3)))</formula>
    </cfRule>
    <cfRule type="containsText" dxfId="102" priority="6" operator="containsText" text="EXPIRES SOON">
      <formula>NOT(ISERROR(SEARCH("EXPIRES SOON",C3)))</formula>
    </cfRule>
    <cfRule type="containsText" dxfId="101" priority="7" operator="containsText" text="GOOD STANDING">
      <formula>NOT(ISERROR(SEARCH("GOOD STANDING",C3)))</formula>
    </cfRule>
    <cfRule type="containsText" dxfId="100" priority="12" operator="containsText" text="EXPIRES SOON">
      <formula>NOT(ISERROR(SEARCH("EXPIRES SOON",C3)))</formula>
    </cfRule>
  </conditionalFormatting>
  <conditionalFormatting sqref="C14">
    <cfRule type="containsText" dxfId="99" priority="8" operator="containsText" text="GOOD STANDING">
      <formula>NOT(ISERROR(SEARCH("GOOD STANDING",C14)))</formula>
    </cfRule>
    <cfRule type="containsText" dxfId="98" priority="9" operator="containsText" text="GOOD$C$14">
      <formula>NOT(ISERROR(SEARCH("GOOD$C$14",C14)))</formula>
    </cfRule>
    <cfRule type="containsText" dxfId="97" priority="10" operator="containsText" text="GOOD$14:$14 STANDING">
      <formula>NOT(ISERROR(SEARCH("GOOD$14:$14 STANDING",C14)))</formula>
    </cfRule>
    <cfRule type="cellIs" dxfId="96" priority="11" operator="equal">
      <formula>"'GOOD STANDING"</formula>
    </cfRule>
  </conditionalFormatting>
  <hyperlinks>
    <hyperlink ref="K6" r:id="rId1" display="davidpeterkramer@outlook.com" xr:uid="{824B6A3E-6843-4D49-8398-770148FE09FC}"/>
    <hyperlink ref="K7" r:id="rId2" display="rileyanne1@ec.rr.com" xr:uid="{98B638A0-68B2-4D05-A7CB-1D2EEDEB9A5E}"/>
    <hyperlink ref="G3" r:id="rId3" xr:uid="{B248CAB1-E952-4D1A-B35D-09F22F9F7466}"/>
  </hyperlinks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CF806-3E68-4BB1-A1C1-950E980BE245}">
  <sheetPr codeName="Sheet7"/>
  <dimension ref="A1:Q57"/>
  <sheetViews>
    <sheetView zoomScaleNormal="100" workbookViewId="0">
      <selection activeCell="K7" sqref="K7:L7"/>
    </sheetView>
  </sheetViews>
  <sheetFormatPr defaultRowHeight="15" x14ac:dyDescent="0.25"/>
  <cols>
    <col min="1" max="1" width="28.28515625" customWidth="1"/>
    <col min="2" max="2" width="17.28515625" customWidth="1"/>
    <col min="3" max="3" width="23.28515625" customWidth="1"/>
    <col min="4" max="5" width="8.7109375" style="53" customWidth="1"/>
    <col min="6" max="6" width="8.85546875" style="53" customWidth="1"/>
    <col min="7" max="8" width="33.5703125" style="53" customWidth="1"/>
    <col min="9" max="9" width="9.42578125" style="53" customWidth="1"/>
    <col min="10" max="10" width="16.28515625" bestFit="1" customWidth="1"/>
    <col min="11" max="11" width="17.140625" customWidth="1"/>
    <col min="12" max="12" width="17.7109375" customWidth="1"/>
  </cols>
  <sheetData>
    <row r="1" spans="1:17" ht="23.65" customHeight="1" thickBot="1" x14ac:dyDescent="0.35">
      <c r="A1" s="101" t="s">
        <v>12</v>
      </c>
      <c r="B1" s="159" t="s">
        <v>3</v>
      </c>
      <c r="C1" s="160"/>
      <c r="D1" s="161" t="s">
        <v>22</v>
      </c>
      <c r="E1" s="162"/>
      <c r="F1" s="163"/>
      <c r="G1" s="154" t="s">
        <v>33</v>
      </c>
      <c r="H1" s="154" t="s">
        <v>48</v>
      </c>
      <c r="J1" s="156" t="s">
        <v>26</v>
      </c>
      <c r="K1" s="157"/>
      <c r="L1" s="158"/>
    </row>
    <row r="2" spans="1:17" ht="19.5" thickBot="1" x14ac:dyDescent="0.35">
      <c r="A2" s="94" t="s">
        <v>4</v>
      </c>
      <c r="B2" s="65" t="s">
        <v>0</v>
      </c>
      <c r="C2" s="61" t="s">
        <v>5</v>
      </c>
      <c r="D2" s="66" t="s">
        <v>23</v>
      </c>
      <c r="E2" s="67" t="s">
        <v>24</v>
      </c>
      <c r="F2" s="68" t="s">
        <v>25</v>
      </c>
      <c r="G2" s="155"/>
      <c r="H2" s="155"/>
      <c r="J2" s="84" t="s">
        <v>27</v>
      </c>
      <c r="K2" s="87" t="s">
        <v>28</v>
      </c>
      <c r="L2" s="85" t="s">
        <v>29</v>
      </c>
    </row>
    <row r="3" spans="1:17" ht="15.75" thickBot="1" x14ac:dyDescent="0.3">
      <c r="A3" s="105" t="s">
        <v>51</v>
      </c>
      <c r="B3" s="93">
        <v>45838</v>
      </c>
      <c r="C3" s="69" t="str">
        <f ca="1">IF(ISBLANK(B3), "", IF(0&gt;=(B3-'Nurse Grid Dashboard'!$B$2), "EXPIRED", IF(AND((B3-'Nurse Grid Dashboard'!$B$2)&gt;0, (B3-'Nurse Grid Dashboard'!$B$2)&lt;=90), "EXPIRES SOON", "GOOD STANDING")))</f>
        <v>GOOD STANDING</v>
      </c>
      <c r="D3" s="56"/>
      <c r="E3" s="59"/>
      <c r="F3" s="60"/>
      <c r="G3" s="80" t="s">
        <v>34</v>
      </c>
      <c r="H3" s="96"/>
      <c r="J3" s="82">
        <f ca="1">COUNTIF(C3:C57, "*good standing*")</f>
        <v>1</v>
      </c>
      <c r="K3" s="86">
        <f ca="1">COUNTIF(C3:C57, "*expires soon*")</f>
        <v>0</v>
      </c>
      <c r="L3" s="83">
        <f ca="1">COUNTIF(C3:C57, "*expired*")</f>
        <v>0</v>
      </c>
    </row>
    <row r="4" spans="1:17" ht="15.75" thickBot="1" x14ac:dyDescent="0.3">
      <c r="A4" s="102"/>
      <c r="B4" s="93"/>
      <c r="C4" s="69"/>
      <c r="D4" s="55"/>
      <c r="E4" s="60"/>
      <c r="F4" s="60"/>
      <c r="G4" s="97"/>
      <c r="H4" s="96"/>
    </row>
    <row r="5" spans="1:17" ht="18.75" x14ac:dyDescent="0.3">
      <c r="A5" s="102"/>
      <c r="B5" s="93"/>
      <c r="C5" s="69"/>
      <c r="D5" s="55"/>
      <c r="E5" s="60"/>
      <c r="F5" s="60"/>
      <c r="G5" s="97"/>
      <c r="H5" s="96"/>
      <c r="J5" s="164" t="s">
        <v>30</v>
      </c>
      <c r="K5" s="165"/>
      <c r="L5" s="166"/>
    </row>
    <row r="6" spans="1:17" x14ac:dyDescent="0.25">
      <c r="A6" s="102"/>
      <c r="B6" s="93"/>
      <c r="C6" s="69"/>
      <c r="D6" s="55"/>
      <c r="E6" s="60"/>
      <c r="F6" s="60"/>
      <c r="G6" s="97"/>
      <c r="H6" s="96"/>
      <c r="J6" s="81" t="s">
        <v>31</v>
      </c>
      <c r="K6" s="152" t="s">
        <v>34</v>
      </c>
      <c r="L6" s="153"/>
    </row>
    <row r="7" spans="1:17" x14ac:dyDescent="0.25">
      <c r="A7" s="105"/>
      <c r="B7" s="93"/>
      <c r="C7" s="69"/>
      <c r="D7" s="55"/>
      <c r="E7" s="60"/>
      <c r="F7" s="60"/>
      <c r="G7" s="97"/>
      <c r="H7" s="96"/>
      <c r="J7" s="81" t="s">
        <v>32</v>
      </c>
      <c r="K7" s="152" t="s">
        <v>34</v>
      </c>
      <c r="L7" s="153"/>
    </row>
    <row r="8" spans="1:17" x14ac:dyDescent="0.25">
      <c r="A8" s="102"/>
      <c r="B8" s="93"/>
      <c r="C8" s="69"/>
      <c r="D8" s="55"/>
      <c r="E8" s="60"/>
      <c r="F8" s="60"/>
      <c r="G8" s="97"/>
      <c r="H8" s="104"/>
      <c r="J8" s="81" t="s">
        <v>35</v>
      </c>
      <c r="K8" s="148" t="s">
        <v>40</v>
      </c>
      <c r="L8" s="149"/>
    </row>
    <row r="9" spans="1:17" ht="15.75" x14ac:dyDescent="0.25">
      <c r="A9" s="106"/>
      <c r="B9" s="93"/>
      <c r="C9" s="69"/>
      <c r="D9" s="55"/>
      <c r="E9" s="60"/>
      <c r="F9" s="60"/>
      <c r="G9" s="97"/>
      <c r="H9" s="104"/>
      <c r="J9" s="81" t="s">
        <v>36</v>
      </c>
      <c r="K9" s="148" t="s">
        <v>41</v>
      </c>
      <c r="L9" s="149"/>
    </row>
    <row r="10" spans="1:17" ht="15.75" x14ac:dyDescent="0.25">
      <c r="A10" s="106"/>
      <c r="B10" s="93"/>
      <c r="C10" s="69"/>
      <c r="D10" s="55"/>
      <c r="E10" s="60"/>
      <c r="F10" s="60"/>
      <c r="G10" s="97"/>
      <c r="H10" s="104"/>
      <c r="J10" s="81" t="s">
        <v>39</v>
      </c>
      <c r="K10" s="148" t="s">
        <v>42</v>
      </c>
      <c r="L10" s="149"/>
    </row>
    <row r="11" spans="1:17" ht="15.6" customHeight="1" x14ac:dyDescent="0.25">
      <c r="A11" s="106"/>
      <c r="B11" s="93"/>
      <c r="C11" s="69"/>
      <c r="D11" s="55"/>
      <c r="E11" s="60"/>
      <c r="F11" s="60"/>
      <c r="G11" s="97"/>
      <c r="H11" s="104"/>
      <c r="I11" s="62"/>
      <c r="J11" s="81" t="s">
        <v>37</v>
      </c>
      <c r="K11" s="148" t="s">
        <v>43</v>
      </c>
      <c r="L11" s="149"/>
      <c r="M11" s="57"/>
      <c r="N11" s="57"/>
      <c r="O11" s="57"/>
      <c r="P11" s="57"/>
      <c r="Q11" s="57"/>
    </row>
    <row r="12" spans="1:17" ht="15.75" x14ac:dyDescent="0.25">
      <c r="A12" s="106"/>
      <c r="B12" s="93"/>
      <c r="C12" s="69"/>
      <c r="D12" s="55"/>
      <c r="E12" s="60"/>
      <c r="F12" s="60"/>
      <c r="G12" s="97"/>
      <c r="H12" s="104"/>
      <c r="I12" s="62"/>
      <c r="J12" s="88" t="s">
        <v>38</v>
      </c>
      <c r="K12" s="148" t="s">
        <v>44</v>
      </c>
      <c r="L12" s="149"/>
      <c r="M12" s="57"/>
      <c r="N12" s="57"/>
      <c r="O12" s="57"/>
      <c r="P12" s="57"/>
      <c r="Q12" s="57"/>
    </row>
    <row r="13" spans="1:17" ht="16.5" thickBot="1" x14ac:dyDescent="0.3">
      <c r="A13" s="106"/>
      <c r="B13" s="93"/>
      <c r="C13" s="69"/>
      <c r="D13" s="55"/>
      <c r="E13" s="60"/>
      <c r="F13" s="60"/>
      <c r="G13" s="97"/>
      <c r="H13" s="104"/>
      <c r="I13" s="62"/>
      <c r="J13" s="89" t="s">
        <v>46</v>
      </c>
      <c r="K13" s="150" t="s">
        <v>45</v>
      </c>
      <c r="L13" s="151"/>
      <c r="M13" s="57"/>
      <c r="N13" s="57"/>
      <c r="O13" s="57"/>
      <c r="P13" s="57"/>
      <c r="Q13" s="57"/>
    </row>
    <row r="14" spans="1:17" ht="15.75" x14ac:dyDescent="0.25">
      <c r="A14" s="106"/>
      <c r="B14" s="93"/>
      <c r="C14" s="69"/>
      <c r="D14" s="55"/>
      <c r="E14" s="60"/>
      <c r="F14" s="60"/>
      <c r="G14" s="97"/>
      <c r="H14" s="104"/>
      <c r="I14" s="62"/>
      <c r="J14" s="57"/>
      <c r="K14" s="57"/>
      <c r="L14" s="57"/>
      <c r="M14" s="57"/>
      <c r="N14" s="57"/>
      <c r="O14" s="57"/>
      <c r="P14" s="57"/>
      <c r="Q14" s="57"/>
    </row>
    <row r="15" spans="1:17" ht="15.75" x14ac:dyDescent="0.25">
      <c r="A15" s="106"/>
      <c r="B15" s="93"/>
      <c r="C15" s="69"/>
      <c r="D15" s="55"/>
      <c r="E15" s="60"/>
      <c r="F15" s="60"/>
      <c r="G15" s="97"/>
      <c r="H15" s="104"/>
    </row>
    <row r="16" spans="1:17" ht="15.75" x14ac:dyDescent="0.25">
      <c r="A16" s="106"/>
      <c r="B16" s="93"/>
      <c r="C16" s="69"/>
      <c r="D16" s="55"/>
      <c r="E16" s="60"/>
      <c r="F16" s="60"/>
      <c r="G16" s="97"/>
      <c r="H16" s="104"/>
    </row>
    <row r="17" spans="1:17" ht="15.75" x14ac:dyDescent="0.25">
      <c r="A17" s="106"/>
      <c r="B17" s="93"/>
      <c r="C17" s="69"/>
      <c r="D17" s="55"/>
      <c r="E17" s="60"/>
      <c r="F17" s="60"/>
      <c r="G17" s="97"/>
      <c r="H17" s="104"/>
    </row>
    <row r="18" spans="1:17" ht="15.75" x14ac:dyDescent="0.25">
      <c r="A18" s="106"/>
      <c r="B18" s="93"/>
      <c r="C18" s="69" t="str">
        <f>IF(ISBLANK(B18), "", IF(0&gt;=(B18-'Nurse Grid Dashboard'!$B$2), "EXPIRED", IF(AND((B18-'Nurse Grid Dashboard'!$B$2)&gt;0, (B18-'Nurse Grid Dashboard'!$B$2)&lt;=90), "EXPIRES SOON", "GOOD STANDING")))</f>
        <v/>
      </c>
      <c r="D18" s="55"/>
      <c r="E18" s="60"/>
      <c r="F18" s="60"/>
      <c r="G18" s="97"/>
      <c r="H18" s="104"/>
    </row>
    <row r="19" spans="1:17" ht="15.75" x14ac:dyDescent="0.25">
      <c r="A19" s="106"/>
      <c r="B19" s="93"/>
      <c r="C19" s="69" t="str">
        <f>IF(ISBLANK(B19), "", IF(0&gt;=(B19-'Nurse Grid Dashboard'!$B$2), "EXPIRED", IF(AND((B19-'Nurse Grid Dashboard'!$B$2)&gt;0, (B19-'Nurse Grid Dashboard'!$B$2)&lt;=90), "EXPIRES SOON", "GOOD STANDING")))</f>
        <v/>
      </c>
      <c r="D19" s="55"/>
      <c r="E19" s="60"/>
      <c r="F19" s="60"/>
      <c r="G19" s="97"/>
      <c r="H19" s="104"/>
    </row>
    <row r="20" spans="1:17" ht="15.75" x14ac:dyDescent="0.25">
      <c r="A20" s="106"/>
      <c r="B20" s="93"/>
      <c r="C20" s="69" t="str">
        <f>IF(ISBLANK(B20), "", IF(0&gt;=(B20-'Nurse Grid Dashboard'!$B$2), "EXPIRED", IF(AND((B20-'Nurse Grid Dashboard'!$B$2)&gt;0, (B20-'Nurse Grid Dashboard'!$B$2)&lt;=90), "EXPIRES SOON", "GOOD STANDING")))</f>
        <v/>
      </c>
      <c r="D20" s="55"/>
      <c r="E20" s="60"/>
      <c r="F20" s="77"/>
      <c r="G20" s="97"/>
      <c r="H20" s="104"/>
      <c r="I20" s="63"/>
      <c r="J20" s="58"/>
      <c r="K20" s="58"/>
      <c r="L20" s="58"/>
      <c r="M20" s="58"/>
      <c r="N20" s="58"/>
      <c r="O20" s="58"/>
      <c r="P20" s="58"/>
      <c r="Q20" s="58"/>
    </row>
    <row r="21" spans="1:17" ht="15.75" x14ac:dyDescent="0.25">
      <c r="A21" s="106"/>
      <c r="B21" s="93"/>
      <c r="C21" s="69" t="str">
        <f>IF(ISBLANK(B21), "", IF(0&gt;=(B21-'Nurse Grid Dashboard'!$B$2), "EXPIRED", IF(AND((B21-'Nurse Grid Dashboard'!$B$2)&gt;0, (B21-'Nurse Grid Dashboard'!$B$2)&lt;=90), "EXPIRES SOON", "GOOD STANDING")))</f>
        <v/>
      </c>
      <c r="D21" s="55"/>
      <c r="E21" s="60"/>
      <c r="F21" s="77"/>
      <c r="G21" s="97"/>
      <c r="H21" s="104"/>
      <c r="I21" s="63"/>
      <c r="J21" s="58"/>
      <c r="K21" s="58"/>
      <c r="L21" s="58"/>
      <c r="M21" s="58"/>
      <c r="N21" s="58"/>
      <c r="O21" s="58"/>
      <c r="P21" s="58"/>
      <c r="Q21" s="58"/>
    </row>
    <row r="22" spans="1:17" ht="15.75" x14ac:dyDescent="0.25">
      <c r="A22" s="106"/>
      <c r="B22" s="93"/>
      <c r="C22" s="69" t="str">
        <f>IF(ISBLANK(B22), "", IF(0&gt;=(B22-'Nurse Grid Dashboard'!$B$2), "EXPIRED", IF(AND((B22-'Nurse Grid Dashboard'!$B$2)&gt;0, (B22-'Nurse Grid Dashboard'!$B$2)&lt;=90), "EXPIRES SOON", "GOOD STANDING")))</f>
        <v/>
      </c>
      <c r="D22" s="55"/>
      <c r="E22" s="60"/>
      <c r="F22" s="77"/>
      <c r="G22" s="97"/>
      <c r="H22" s="104"/>
      <c r="I22" s="63"/>
      <c r="J22" s="58"/>
      <c r="K22" s="58"/>
      <c r="L22" s="58"/>
      <c r="M22" s="58"/>
      <c r="N22" s="58"/>
      <c r="O22" s="58"/>
      <c r="P22" s="58"/>
      <c r="Q22" s="58"/>
    </row>
    <row r="23" spans="1:17" ht="15.75" x14ac:dyDescent="0.25">
      <c r="A23" s="106"/>
      <c r="B23" s="93"/>
      <c r="C23" s="69" t="str">
        <f>IF(ISBLANK(B23), "", IF(0&gt;=(B23-'Nurse Grid Dashboard'!$B$2), "EXPIRED", IF(AND((B23-'Nurse Grid Dashboard'!$B$2)&gt;0, (B23-'Nurse Grid Dashboard'!$B$2)&lt;=90), "EXPIRES SOON", "GOOD STANDING")))</f>
        <v/>
      </c>
      <c r="D23" s="55"/>
      <c r="E23" s="60"/>
      <c r="F23" s="77"/>
      <c r="G23" s="97"/>
      <c r="H23" s="104"/>
      <c r="I23" s="63"/>
      <c r="J23" s="58"/>
      <c r="K23" s="58"/>
      <c r="L23" s="58"/>
      <c r="M23" s="58"/>
      <c r="N23" s="58"/>
      <c r="O23" s="58"/>
      <c r="P23" s="58"/>
      <c r="Q23" s="58"/>
    </row>
    <row r="24" spans="1:17" ht="15.75" x14ac:dyDescent="0.25">
      <c r="A24" s="106"/>
      <c r="B24" s="93"/>
      <c r="C24" s="69" t="str">
        <f>IF(ISBLANK(B24), "", IF(0&gt;=(B24-'Nurse Grid Dashboard'!$B$2), "EXPIRED", IF(AND((B24-'Nurse Grid Dashboard'!$B$2)&gt;0, (B24-'Nurse Grid Dashboard'!$B$2)&lt;=90), "EXPIRES SOON", "GOOD STANDING")))</f>
        <v/>
      </c>
      <c r="D24" s="55"/>
      <c r="E24" s="60"/>
      <c r="F24" s="60"/>
      <c r="G24" s="97"/>
      <c r="H24" s="104"/>
    </row>
    <row r="25" spans="1:17" ht="15.75" x14ac:dyDescent="0.25">
      <c r="A25" s="106"/>
      <c r="B25" s="93"/>
      <c r="C25" s="69" t="str">
        <f>IF(ISBLANK(B25), "", IF(0&gt;=(B25-'Nurse Grid Dashboard'!$B$2), "EXPIRED", IF(AND((B25-'Nurse Grid Dashboard'!$B$2)&gt;0, (B25-'Nurse Grid Dashboard'!$B$2)&lt;=90), "EXPIRES SOON", "GOOD STANDING")))</f>
        <v/>
      </c>
      <c r="D25" s="55"/>
      <c r="E25" s="60"/>
      <c r="F25" s="60"/>
      <c r="G25" s="97"/>
      <c r="H25" s="104"/>
    </row>
    <row r="26" spans="1:17" ht="15.75" x14ac:dyDescent="0.25">
      <c r="A26" s="106"/>
      <c r="B26" s="93"/>
      <c r="C26" s="69" t="str">
        <f>IF(ISBLANK(B26), "", IF(0&gt;=(B26-'Nurse Grid Dashboard'!$B$2), "EXPIRED", IF(AND((B26-'Nurse Grid Dashboard'!$B$2)&gt;0, (B26-'Nurse Grid Dashboard'!$B$2)&lt;=90), "EXPIRES SOON", "GOOD STANDING")))</f>
        <v/>
      </c>
      <c r="D26" s="55"/>
      <c r="E26" s="60"/>
      <c r="F26" s="60"/>
      <c r="G26" s="97"/>
      <c r="H26" s="104"/>
    </row>
    <row r="27" spans="1:17" ht="15.75" x14ac:dyDescent="0.25">
      <c r="A27" s="106"/>
      <c r="B27" s="93"/>
      <c r="C27" s="69" t="str">
        <f>IF(ISBLANK(B27), "", IF(0&gt;=(B27-'Nurse Grid Dashboard'!$B$2), "EXPIRED", IF(AND((B27-'Nurse Grid Dashboard'!$B$2)&gt;0, (B27-'Nurse Grid Dashboard'!$B$2)&lt;=90), "EXPIRES SOON", "GOOD STANDING")))</f>
        <v/>
      </c>
      <c r="D27" s="55"/>
      <c r="E27" s="60"/>
      <c r="F27" s="60"/>
      <c r="G27" s="97"/>
      <c r="H27" s="104"/>
    </row>
    <row r="28" spans="1:17" ht="15.75" x14ac:dyDescent="0.25">
      <c r="A28" s="106"/>
      <c r="B28" s="93"/>
      <c r="C28" s="69" t="str">
        <f>IF(ISBLANK(B28), "", IF(0&gt;=(B28-'Nurse Grid Dashboard'!$B$2), "EXPIRED", IF(AND((B28-'Nurse Grid Dashboard'!$B$2)&gt;0, (B28-'Nurse Grid Dashboard'!$B$2)&lt;=90), "EXPIRES SOON", "GOOD STANDING")))</f>
        <v/>
      </c>
      <c r="D28" s="55"/>
      <c r="E28" s="60"/>
      <c r="F28" s="60"/>
      <c r="G28" s="97"/>
      <c r="H28" s="104"/>
    </row>
    <row r="29" spans="1:17" ht="15.75" x14ac:dyDescent="0.25">
      <c r="A29" s="106"/>
      <c r="B29" s="93"/>
      <c r="C29" s="69" t="str">
        <f>IF(ISBLANK(B29), "", IF(0&gt;=(B29-'Nurse Grid Dashboard'!$B$2), "EXPIRED", IF(AND((B29-'Nurse Grid Dashboard'!$B$2)&gt;0, (B29-'Nurse Grid Dashboard'!$B$2)&lt;=90), "EXPIRES SOON", "GOOD STANDING")))</f>
        <v/>
      </c>
      <c r="D29" s="55"/>
      <c r="E29" s="60"/>
      <c r="F29" s="60"/>
      <c r="G29" s="97"/>
      <c r="H29" s="104"/>
    </row>
    <row r="30" spans="1:17" ht="15.75" x14ac:dyDescent="0.25">
      <c r="A30" s="106"/>
      <c r="B30" s="93"/>
      <c r="C30" s="69" t="str">
        <f>IF(ISBLANK(B30), "", IF(0&gt;=(B30-'Nurse Grid Dashboard'!$B$2), "EXPIRED", IF(AND((B30-'Nurse Grid Dashboard'!$B$2)&gt;0, (B30-'Nurse Grid Dashboard'!$B$2)&lt;=90), "EXPIRES SOON", "GOOD STANDING")))</f>
        <v/>
      </c>
      <c r="D30" s="55"/>
      <c r="E30" s="60"/>
      <c r="F30" s="60"/>
      <c r="G30" s="97"/>
      <c r="H30" s="104"/>
    </row>
    <row r="31" spans="1:17" ht="15.75" x14ac:dyDescent="0.25">
      <c r="A31" s="106"/>
      <c r="B31" s="93"/>
      <c r="C31" s="69" t="str">
        <f>IF(ISBLANK(B31), "", IF(0&gt;=(B31-'Nurse Grid Dashboard'!$B$2), "EXPIRED", IF(AND((B31-'Nurse Grid Dashboard'!$B$2)&gt;0, (B31-'Nurse Grid Dashboard'!$B$2)&lt;=90), "EXPIRES SOON", "GOOD STANDING")))</f>
        <v/>
      </c>
      <c r="D31" s="55"/>
      <c r="E31" s="60"/>
      <c r="F31" s="60"/>
      <c r="G31" s="97"/>
      <c r="H31" s="104"/>
    </row>
    <row r="32" spans="1:17" ht="15.75" x14ac:dyDescent="0.25">
      <c r="A32" s="106"/>
      <c r="B32" s="93"/>
      <c r="C32" s="69" t="str">
        <f>IF(ISBLANK(B32), "", IF(0&gt;=(B32-'Nurse Grid Dashboard'!$B$2), "EXPIRED", IF(AND((B32-'Nurse Grid Dashboard'!$B$2)&gt;0, (B32-'Nurse Grid Dashboard'!$B$2)&lt;=90), "EXPIRES SOON", "GOOD STANDING")))</f>
        <v/>
      </c>
      <c r="D32" s="55"/>
      <c r="E32" s="60"/>
      <c r="F32" s="60"/>
      <c r="G32" s="97"/>
      <c r="H32" s="104"/>
    </row>
    <row r="33" spans="1:8" ht="15.75" x14ac:dyDescent="0.25">
      <c r="A33" s="106"/>
      <c r="B33" s="93"/>
      <c r="C33" s="69" t="str">
        <f>IF(ISBLANK(B33), "", IF(0&gt;=(B33-'Nurse Grid Dashboard'!$B$2), "EXPIRED", IF(AND((B33-'Nurse Grid Dashboard'!$B$2)&gt;0, (B33-'Nurse Grid Dashboard'!$B$2)&lt;=90), "EXPIRES SOON", "GOOD STANDING")))</f>
        <v/>
      </c>
      <c r="D33" s="55"/>
      <c r="E33" s="60"/>
      <c r="F33" s="60"/>
      <c r="G33" s="97"/>
      <c r="H33" s="104"/>
    </row>
    <row r="34" spans="1:8" ht="15.75" x14ac:dyDescent="0.25">
      <c r="A34" s="106"/>
      <c r="B34" s="96"/>
      <c r="C34" s="69" t="str">
        <f>IF(ISBLANK(B34), "", IF(0&gt;=(B34-'Nurse Grid Dashboard'!$B$2), "EXPIRED", IF(AND((B34-'Nurse Grid Dashboard'!$B$2)&gt;0, (B34-'Nurse Grid Dashboard'!$B$2)&lt;=90), "EXPIRES SOON", "GOOD STANDING")))</f>
        <v/>
      </c>
      <c r="D34" s="55"/>
      <c r="E34" s="60"/>
      <c r="F34" s="60"/>
      <c r="G34" s="60"/>
      <c r="H34" s="70"/>
    </row>
    <row r="35" spans="1:8" ht="15.75" x14ac:dyDescent="0.25">
      <c r="A35" s="106"/>
      <c r="B35" s="96"/>
      <c r="C35" s="69" t="str">
        <f>IF(ISBLANK(B35), "", IF(0&gt;=(B35-'Nurse Grid Dashboard'!$B$2), "EXPIRED", IF(AND((B35-'Nurse Grid Dashboard'!$B$2)&gt;0, (B35-'Nurse Grid Dashboard'!$B$2)&lt;=90), "EXPIRES SOON", "GOOD STANDING")))</f>
        <v/>
      </c>
      <c r="D35" s="55"/>
      <c r="E35" s="60"/>
      <c r="F35" s="60"/>
      <c r="G35" s="60"/>
      <c r="H35" s="70"/>
    </row>
    <row r="36" spans="1:8" ht="15.75" x14ac:dyDescent="0.25">
      <c r="A36" s="106"/>
      <c r="B36" s="96"/>
      <c r="C36" s="69" t="str">
        <f>IF(ISBLANK(B36), "", IF(0&gt;=(B36-'Nurse Grid Dashboard'!$B$2), "EXPIRED", IF(AND((B36-'Nurse Grid Dashboard'!$B$2)&gt;0, (B36-'Nurse Grid Dashboard'!$B$2)&lt;=90), "EXPIRES SOON", "GOOD STANDING")))</f>
        <v/>
      </c>
      <c r="D36" s="55"/>
      <c r="E36" s="60"/>
      <c r="F36" s="60"/>
      <c r="G36" s="60"/>
      <c r="H36" s="70"/>
    </row>
    <row r="37" spans="1:8" ht="15.75" x14ac:dyDescent="0.25">
      <c r="A37" s="106"/>
      <c r="B37" s="96"/>
      <c r="C37" s="69" t="str">
        <f>IF(ISBLANK(B37), "", IF(0&gt;=(B37-'Nurse Grid Dashboard'!$B$2), "EXPIRED", IF(AND((B37-'Nurse Grid Dashboard'!$B$2)&gt;0, (B37-'Nurse Grid Dashboard'!$B$2)&lt;=90), "EXPIRES SOON", "GOOD STANDING")))</f>
        <v/>
      </c>
      <c r="D37" s="55"/>
      <c r="E37" s="60"/>
      <c r="F37" s="60"/>
      <c r="G37" s="60"/>
      <c r="H37" s="70"/>
    </row>
    <row r="38" spans="1:8" ht="15.75" x14ac:dyDescent="0.25">
      <c r="A38" s="106"/>
      <c r="B38" s="54"/>
      <c r="C38" s="69" t="str">
        <f>IF(ISBLANK(B38), "", IF(0&gt;=(B38-'Nurse Grid Dashboard'!$B$2), "EXPIRED", IF(AND((B38-'Nurse Grid Dashboard'!$B$2)&gt;0, (B38-'Nurse Grid Dashboard'!$B$2)&lt;=90), "EXPIRES SOON", "GOOD STANDING")))</f>
        <v/>
      </c>
      <c r="D38" s="55"/>
      <c r="E38" s="60"/>
      <c r="F38" s="60"/>
      <c r="G38" s="60"/>
      <c r="H38" s="70"/>
    </row>
    <row r="39" spans="1:8" ht="15.75" x14ac:dyDescent="0.25">
      <c r="A39" s="71"/>
      <c r="B39" s="54"/>
      <c r="C39" s="69" t="str">
        <f>IF(ISBLANK(B39), "", IF(0&gt;=(B39-'Nurse Grid Dashboard'!$B$2), "EXPIRED", IF(AND((B39-'Nurse Grid Dashboard'!$B$2)&gt;0, (B39-'Nurse Grid Dashboard'!$B$2)&lt;=90), "EXPIRES SOON", "GOOD STANDING")))</f>
        <v/>
      </c>
      <c r="D39" s="55"/>
      <c r="E39" s="60"/>
      <c r="F39" s="60"/>
      <c r="G39" s="60"/>
      <c r="H39" s="70"/>
    </row>
    <row r="40" spans="1:8" ht="15.75" x14ac:dyDescent="0.25">
      <c r="A40" s="71"/>
      <c r="B40" s="54"/>
      <c r="C40" s="69" t="str">
        <f>IF(ISBLANK(B40), "", IF(0&gt;=(B40-'Nurse Grid Dashboard'!$B$2), "EXPIRED", IF(AND((B40-'Nurse Grid Dashboard'!$B$2)&gt;0, (B40-'Nurse Grid Dashboard'!$B$2)&lt;=90), "EXPIRES SOON", "GOOD STANDING")))</f>
        <v/>
      </c>
      <c r="D40" s="55"/>
      <c r="E40" s="60"/>
      <c r="F40" s="60"/>
      <c r="G40" s="60"/>
      <c r="H40" s="70"/>
    </row>
    <row r="41" spans="1:8" ht="15.75" x14ac:dyDescent="0.25">
      <c r="A41" s="71"/>
      <c r="B41" s="54"/>
      <c r="C41" s="69" t="str">
        <f>IF(ISBLANK(B41), "", IF(0&gt;=(B41-'Nurse Grid Dashboard'!$B$2), "EXPIRED", IF(AND((B41-'Nurse Grid Dashboard'!$B$2)&gt;0, (B41-'Nurse Grid Dashboard'!$B$2)&lt;=90), "EXPIRES SOON", "GOOD STANDING")))</f>
        <v/>
      </c>
      <c r="D41" s="55"/>
      <c r="E41" s="60"/>
      <c r="F41" s="60"/>
      <c r="G41" s="60"/>
      <c r="H41" s="70"/>
    </row>
    <row r="42" spans="1:8" ht="15.75" x14ac:dyDescent="0.25">
      <c r="A42" s="71"/>
      <c r="B42" s="54"/>
      <c r="C42" s="69" t="str">
        <f>IF(ISBLANK(B42), "", IF(0&gt;=(B42-'Nurse Grid Dashboard'!$B$2), "EXPIRED", IF(AND((B42-'Nurse Grid Dashboard'!$B$2)&gt;0, (B42-'Nurse Grid Dashboard'!$B$2)&lt;=90), "EXPIRES SOON", "GOOD STANDING")))</f>
        <v/>
      </c>
      <c r="D42" s="55"/>
      <c r="E42" s="60"/>
      <c r="F42" s="60"/>
      <c r="G42" s="60"/>
      <c r="H42" s="70"/>
    </row>
    <row r="43" spans="1:8" ht="15.75" x14ac:dyDescent="0.25">
      <c r="A43" s="71"/>
      <c r="B43" s="54"/>
      <c r="C43" s="69" t="str">
        <f>IF(ISBLANK(B43), "", IF(0&gt;=(B43-'Nurse Grid Dashboard'!$B$2), "EXPIRED", IF(AND((B43-'Nurse Grid Dashboard'!$B$2)&gt;0, (B43-'Nurse Grid Dashboard'!$B$2)&lt;=90), "EXPIRES SOON", "GOOD STANDING")))</f>
        <v/>
      </c>
      <c r="D43" s="55"/>
      <c r="E43" s="60"/>
      <c r="F43" s="60"/>
      <c r="G43" s="60"/>
      <c r="H43" s="70"/>
    </row>
    <row r="44" spans="1:8" ht="15.75" x14ac:dyDescent="0.25">
      <c r="A44" s="71"/>
      <c r="B44" s="54"/>
      <c r="C44" s="69" t="str">
        <f>IF(ISBLANK(B44), "", IF(0&gt;=(B44-'Nurse Grid Dashboard'!$B$2), "EXPIRED", IF(AND((B44-'Nurse Grid Dashboard'!$B$2)&gt;0, (B44-'Nurse Grid Dashboard'!$B$2)&lt;=90), "EXPIRES SOON", "GOOD STANDING")))</f>
        <v/>
      </c>
      <c r="D44" s="55"/>
      <c r="E44" s="60"/>
      <c r="F44" s="60"/>
      <c r="G44" s="60"/>
      <c r="H44" s="70"/>
    </row>
    <row r="45" spans="1:8" ht="15.75" x14ac:dyDescent="0.25">
      <c r="A45" s="71"/>
      <c r="B45" s="54"/>
      <c r="C45" s="69" t="str">
        <f>IF(ISBLANK(B45), "", IF(0&gt;=(B45-'Nurse Grid Dashboard'!$B$2), "EXPIRED", IF(AND((B45-'Nurse Grid Dashboard'!$B$2)&gt;0, (B45-'Nurse Grid Dashboard'!$B$2)&lt;=90), "EXPIRES SOON", "GOOD STANDING")))</f>
        <v/>
      </c>
      <c r="D45" s="55"/>
      <c r="E45" s="60"/>
      <c r="F45" s="60"/>
      <c r="G45" s="60"/>
      <c r="H45" s="70"/>
    </row>
    <row r="46" spans="1:8" ht="15.75" x14ac:dyDescent="0.25">
      <c r="A46" s="71"/>
      <c r="B46" s="54"/>
      <c r="C46" s="69" t="str">
        <f>IF(ISBLANK(B46), "", IF(0&gt;=(B46-'Nurse Grid Dashboard'!$B$2), "EXPIRED", IF(AND((B46-'Nurse Grid Dashboard'!$B$2)&gt;0, (B46-'Nurse Grid Dashboard'!$B$2)&lt;=90), "EXPIRES SOON", "GOOD STANDING")))</f>
        <v/>
      </c>
      <c r="D46" s="55"/>
      <c r="E46" s="60"/>
      <c r="F46" s="60"/>
      <c r="G46" s="60"/>
      <c r="H46" s="70"/>
    </row>
    <row r="47" spans="1:8" ht="15.75" x14ac:dyDescent="0.25">
      <c r="A47" s="71"/>
      <c r="B47" s="54"/>
      <c r="C47" s="69" t="str">
        <f>IF(ISBLANK(B47), "", IF(0&gt;=(B47-'Nurse Grid Dashboard'!$B$2), "EXPIRED", IF(AND((B47-'Nurse Grid Dashboard'!$B$2)&gt;0, (B47-'Nurse Grid Dashboard'!$B$2)&lt;=90), "EXPIRES SOON", "GOOD STANDING")))</f>
        <v/>
      </c>
      <c r="D47" s="55"/>
      <c r="E47" s="60"/>
      <c r="F47" s="60"/>
      <c r="G47" s="60"/>
      <c r="H47" s="70"/>
    </row>
    <row r="48" spans="1:8" ht="15.75" x14ac:dyDescent="0.25">
      <c r="A48" s="71"/>
      <c r="B48" s="54"/>
      <c r="C48" s="69" t="str">
        <f>IF(ISBLANK(B48), "", IF(0&gt;=(B48-'Nurse Grid Dashboard'!$B$2), "EXPIRED", IF(AND((B48-'Nurse Grid Dashboard'!$B$2)&gt;0, (B48-'Nurse Grid Dashboard'!$B$2)&lt;=90), "EXPIRES SOON", "GOOD STANDING")))</f>
        <v/>
      </c>
      <c r="D48" s="55"/>
      <c r="E48" s="60"/>
      <c r="F48" s="60"/>
      <c r="G48" s="60"/>
      <c r="H48" s="70"/>
    </row>
    <row r="49" spans="1:8" ht="15.75" x14ac:dyDescent="0.25">
      <c r="A49" s="71"/>
      <c r="B49" s="54"/>
      <c r="C49" s="69" t="str">
        <f>IF(ISBLANK(B49), "", IF(0&gt;=(B49-'Nurse Grid Dashboard'!$B$2), "EXPIRED", IF(AND((B49-'Nurse Grid Dashboard'!$B$2)&gt;0, (B49-'Nurse Grid Dashboard'!$B$2)&lt;=90), "EXPIRES SOON", "GOOD STANDING")))</f>
        <v/>
      </c>
      <c r="D49" s="55"/>
      <c r="E49" s="60"/>
      <c r="F49" s="60"/>
      <c r="G49" s="60"/>
      <c r="H49" s="70"/>
    </row>
    <row r="50" spans="1:8" ht="15.75" x14ac:dyDescent="0.25">
      <c r="A50" s="71"/>
      <c r="B50" s="54"/>
      <c r="C50" s="69" t="str">
        <f>IF(ISBLANK(B50), "", IF(0&gt;=(B50-'Nurse Grid Dashboard'!$B$2), "EXPIRED", IF(AND((B50-'Nurse Grid Dashboard'!$B$2)&gt;0, (B50-'Nurse Grid Dashboard'!$B$2)&lt;=90), "EXPIRES SOON", "GOOD STANDING")))</f>
        <v/>
      </c>
      <c r="D50" s="55"/>
      <c r="E50" s="60"/>
      <c r="F50" s="60"/>
      <c r="G50" s="60"/>
      <c r="H50" s="70"/>
    </row>
    <row r="51" spans="1:8" ht="15.75" x14ac:dyDescent="0.25">
      <c r="A51" s="71"/>
      <c r="B51" s="54"/>
      <c r="C51" s="69" t="str">
        <f>IF(ISBLANK(B51), "", IF(0&gt;=(B51-'Nurse Grid Dashboard'!$B$2), "EXPIRED", IF(AND((B51-'Nurse Grid Dashboard'!$B$2)&gt;0, (B51-'Nurse Grid Dashboard'!$B$2)&lt;=90), "EXPIRES SOON", "GOOD STANDING")))</f>
        <v/>
      </c>
      <c r="D51" s="55"/>
      <c r="E51" s="60"/>
      <c r="F51" s="60"/>
      <c r="G51" s="60"/>
      <c r="H51" s="70"/>
    </row>
    <row r="52" spans="1:8" ht="15.75" x14ac:dyDescent="0.25">
      <c r="A52" s="71"/>
      <c r="B52" s="54"/>
      <c r="C52" s="69" t="str">
        <f>IF(ISBLANK(B52), "", IF(0&gt;=(B52-'Nurse Grid Dashboard'!$B$2), "EXPIRED", IF(AND((B52-'Nurse Grid Dashboard'!$B$2)&gt;0, (B52-'Nurse Grid Dashboard'!$B$2)&lt;=90), "EXPIRES SOON", "GOOD STANDING")))</f>
        <v/>
      </c>
      <c r="D52" s="55"/>
      <c r="E52" s="60"/>
      <c r="F52" s="60"/>
      <c r="G52" s="60"/>
      <c r="H52" s="70"/>
    </row>
    <row r="53" spans="1:8" ht="15.75" x14ac:dyDescent="0.25">
      <c r="A53" s="71"/>
      <c r="B53" s="54"/>
      <c r="C53" s="69" t="str">
        <f>IF(ISBLANK(B53), "", IF(0&gt;=(B53-'Nurse Grid Dashboard'!$B$2), "EXPIRED", IF(AND((B53-'Nurse Grid Dashboard'!$B$2)&gt;0, (B53-'Nurse Grid Dashboard'!$B$2)&lt;=90), "EXPIRES SOON", "GOOD STANDING")))</f>
        <v/>
      </c>
      <c r="D53" s="55"/>
      <c r="E53" s="60"/>
      <c r="F53" s="60"/>
      <c r="G53" s="60"/>
      <c r="H53" s="70"/>
    </row>
    <row r="54" spans="1:8" ht="15.75" x14ac:dyDescent="0.25">
      <c r="A54" s="71"/>
      <c r="B54" s="54"/>
      <c r="C54" s="69" t="str">
        <f>IF(ISBLANK(B54), "", IF(0&gt;=(B54-'Nurse Grid Dashboard'!$B$2), "EXPIRED", IF(AND((B54-'Nurse Grid Dashboard'!$B$2)&gt;0, (B54-'Nurse Grid Dashboard'!$B$2)&lt;=90), "EXPIRES SOON", "GOOD STANDING")))</f>
        <v/>
      </c>
      <c r="D54" s="55"/>
      <c r="E54" s="60"/>
      <c r="F54" s="60"/>
      <c r="G54" s="60"/>
      <c r="H54" s="70"/>
    </row>
    <row r="55" spans="1:8" ht="15.75" x14ac:dyDescent="0.25">
      <c r="A55" s="71"/>
      <c r="B55" s="54"/>
      <c r="C55" s="69" t="str">
        <f>IF(ISBLANK(B55), "", IF(0&gt;=(B55-'Nurse Grid Dashboard'!$B$2), "EXPIRED", IF(AND((B55-'Nurse Grid Dashboard'!$B$2)&gt;0, (B55-'Nurse Grid Dashboard'!$B$2)&lt;=90), "EXPIRES SOON", "GOOD STANDING")))</f>
        <v/>
      </c>
      <c r="D55" s="55"/>
      <c r="E55" s="60"/>
      <c r="F55" s="60"/>
      <c r="G55" s="60"/>
      <c r="H55" s="70"/>
    </row>
    <row r="56" spans="1:8" ht="15.75" x14ac:dyDescent="0.25">
      <c r="A56" s="71"/>
      <c r="B56" s="54"/>
      <c r="C56" s="69" t="str">
        <f>IF(ISBLANK(B56), "", IF(0&gt;=(B56-'Nurse Grid Dashboard'!$B$2), "EXPIRED", IF(AND((B56-'Nurse Grid Dashboard'!$B$2)&gt;0, (B56-'Nurse Grid Dashboard'!$B$2)&lt;=90), "EXPIRES SOON", "GOOD STANDING")))</f>
        <v/>
      </c>
      <c r="D56" s="55"/>
      <c r="E56" s="60"/>
      <c r="F56" s="60"/>
      <c r="G56" s="60"/>
      <c r="H56" s="70"/>
    </row>
    <row r="57" spans="1:8" ht="16.5" thickBot="1" x14ac:dyDescent="0.3">
      <c r="A57" s="72"/>
      <c r="B57" s="73"/>
      <c r="C57" s="78" t="str">
        <f>IF(ISBLANK(B57), "", IF(0&gt;=(B57-'Nurse Grid Dashboard'!$B$2), "EXPIRED", IF(AND((B57-'Nurse Grid Dashboard'!$B$2)&gt;0, (B57-'Nurse Grid Dashboard'!$B$2)&lt;=90), "EXPIRES SOON", "GOOD STANDING")))</f>
        <v/>
      </c>
      <c r="D57" s="74"/>
      <c r="E57" s="75"/>
      <c r="F57" s="75"/>
      <c r="G57" s="75"/>
      <c r="H57" s="76"/>
    </row>
  </sheetData>
  <mergeCells count="14">
    <mergeCell ref="K13:L13"/>
    <mergeCell ref="H1:H2"/>
    <mergeCell ref="K7:L7"/>
    <mergeCell ref="K8:L8"/>
    <mergeCell ref="K9:L9"/>
    <mergeCell ref="K10:L10"/>
    <mergeCell ref="K11:L11"/>
    <mergeCell ref="K12:L12"/>
    <mergeCell ref="K6:L6"/>
    <mergeCell ref="B1:C1"/>
    <mergeCell ref="D1:F1"/>
    <mergeCell ref="G1:G2"/>
    <mergeCell ref="J1:L1"/>
    <mergeCell ref="J5:L5"/>
  </mergeCells>
  <conditionalFormatting sqref="C3:C57">
    <cfRule type="containsText" dxfId="95" priority="1" operator="containsText" text="EXPIRED">
      <formula>NOT(ISERROR(SEARCH("EXPIRED",C3)))</formula>
    </cfRule>
    <cfRule type="containsText" dxfId="94" priority="2" operator="containsText" text="GOOD STANDING">
      <formula>NOT(ISERROR(SEARCH("GOOD STANDING",C3)))</formula>
    </cfRule>
    <cfRule type="containsText" dxfId="93" priority="3" operator="containsText" text="EXPIRED">
      <formula>NOT(ISERROR(SEARCH("EXPIRED",C3)))</formula>
    </cfRule>
    <cfRule type="containsText" dxfId="92" priority="4" operator="containsText" text="EXPIRED">
      <formula>NOT(ISERROR(SEARCH("EXPIRED",C3)))</formula>
    </cfRule>
    <cfRule type="containsText" dxfId="91" priority="5" operator="containsText" text="EXPIRED">
      <formula>NOT(ISERROR(SEARCH("EXPIRED",C3)))</formula>
    </cfRule>
    <cfRule type="containsText" dxfId="90" priority="6" operator="containsText" text="EXPIRES SOON">
      <formula>NOT(ISERROR(SEARCH("EXPIRES SOON",C3)))</formula>
    </cfRule>
    <cfRule type="containsText" dxfId="89" priority="7" operator="containsText" text="GOOD STANDING">
      <formula>NOT(ISERROR(SEARCH("GOOD STANDING",C3)))</formula>
    </cfRule>
    <cfRule type="containsText" dxfId="88" priority="12" operator="containsText" text="EXPIRES SOON">
      <formula>NOT(ISERROR(SEARCH("EXPIRES SOON",C3)))</formula>
    </cfRule>
  </conditionalFormatting>
  <conditionalFormatting sqref="C14">
    <cfRule type="containsText" dxfId="87" priority="8" operator="containsText" text="GOOD STANDING">
      <formula>NOT(ISERROR(SEARCH("GOOD STANDING",C14)))</formula>
    </cfRule>
    <cfRule type="containsText" dxfId="86" priority="9" operator="containsText" text="GOOD$C$14">
      <formula>NOT(ISERROR(SEARCH("GOOD$C$14",C14)))</formula>
    </cfRule>
    <cfRule type="containsText" dxfId="85" priority="10" operator="containsText" text="GOOD$14:$14 STANDING">
      <formula>NOT(ISERROR(SEARCH("GOOD$14:$14 STANDING",C14)))</formula>
    </cfRule>
    <cfRule type="cellIs" dxfId="84" priority="11" operator="equal">
      <formula>"'GOOD STANDING"</formula>
    </cfRule>
  </conditionalFormatting>
  <hyperlinks>
    <hyperlink ref="K6" r:id="rId1" display="davidpeterkramer@outlook.com" xr:uid="{55777C2A-3741-430E-A5D6-CFDB2D00D725}"/>
    <hyperlink ref="K7" r:id="rId2" display="rileyanne1@ec.rr.com" xr:uid="{4194A808-A5BD-4A97-AC34-20137A7855E9}"/>
    <hyperlink ref="G3" r:id="rId3" xr:uid="{3D1DBA0C-6873-4713-98C1-647ECC384DD3}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0B159-A839-4D0F-A194-5FDD979D082B}">
  <sheetPr codeName="Sheet8"/>
  <dimension ref="A1:Q57"/>
  <sheetViews>
    <sheetView zoomScaleNormal="100" workbookViewId="0">
      <selection activeCell="K7" sqref="K7:L7"/>
    </sheetView>
  </sheetViews>
  <sheetFormatPr defaultRowHeight="15" x14ac:dyDescent="0.25"/>
  <cols>
    <col min="1" max="1" width="28.28515625" customWidth="1"/>
    <col min="2" max="2" width="17.28515625" customWidth="1"/>
    <col min="3" max="3" width="23.28515625" customWidth="1"/>
    <col min="4" max="5" width="8.7109375" style="53" customWidth="1"/>
    <col min="6" max="6" width="8.85546875" style="53" customWidth="1"/>
    <col min="7" max="8" width="33.5703125" style="53" customWidth="1"/>
    <col min="9" max="9" width="9.42578125" style="53" customWidth="1"/>
    <col min="10" max="10" width="16.28515625" bestFit="1" customWidth="1"/>
    <col min="11" max="11" width="17.140625" customWidth="1"/>
    <col min="12" max="12" width="17.7109375" customWidth="1"/>
  </cols>
  <sheetData>
    <row r="1" spans="1:17" ht="23.65" customHeight="1" thickBot="1" x14ac:dyDescent="0.35">
      <c r="A1" s="101" t="s">
        <v>47</v>
      </c>
      <c r="B1" s="159" t="s">
        <v>3</v>
      </c>
      <c r="C1" s="160"/>
      <c r="D1" s="161" t="s">
        <v>22</v>
      </c>
      <c r="E1" s="162"/>
      <c r="F1" s="163"/>
      <c r="G1" s="154" t="s">
        <v>33</v>
      </c>
      <c r="H1" s="154" t="s">
        <v>48</v>
      </c>
      <c r="J1" s="156" t="s">
        <v>26</v>
      </c>
      <c r="K1" s="157"/>
      <c r="L1" s="158"/>
    </row>
    <row r="2" spans="1:17" ht="19.5" thickBot="1" x14ac:dyDescent="0.35">
      <c r="A2" s="94" t="s">
        <v>4</v>
      </c>
      <c r="B2" s="65" t="s">
        <v>0</v>
      </c>
      <c r="C2" s="61" t="s">
        <v>5</v>
      </c>
      <c r="D2" s="66" t="s">
        <v>23</v>
      </c>
      <c r="E2" s="67" t="s">
        <v>24</v>
      </c>
      <c r="F2" s="68" t="s">
        <v>25</v>
      </c>
      <c r="G2" s="155"/>
      <c r="H2" s="155"/>
      <c r="J2" s="84" t="s">
        <v>27</v>
      </c>
      <c r="K2" s="87" t="s">
        <v>28</v>
      </c>
      <c r="L2" s="85" t="s">
        <v>29</v>
      </c>
    </row>
    <row r="3" spans="1:17" ht="15.75" thickBot="1" x14ac:dyDescent="0.3">
      <c r="A3" s="105" t="s">
        <v>51</v>
      </c>
      <c r="B3" s="93">
        <v>45920</v>
      </c>
      <c r="C3" s="69" t="str">
        <f ca="1">IF(ISBLANK(B3), "", IF(0&gt;=(B3-'Nurse Grid Dashboard'!$B$2), "EXPIRED", IF(AND((B3-'Nurse Grid Dashboard'!$B$2)&gt;0, (B3-'Nurse Grid Dashboard'!$B$2)&lt;=90), "EXPIRES SOON", "GOOD STANDING")))</f>
        <v>GOOD STANDING</v>
      </c>
      <c r="D3" s="56"/>
      <c r="E3" s="59"/>
      <c r="F3" s="60"/>
      <c r="G3" s="80" t="s">
        <v>34</v>
      </c>
      <c r="H3" s="109"/>
      <c r="J3" s="82">
        <f ca="1">COUNTIF(C3:C57, "*good standing*")</f>
        <v>1</v>
      </c>
      <c r="K3" s="86">
        <f ca="1">COUNTIF(C3:C57, "*expires soon*")</f>
        <v>0</v>
      </c>
      <c r="L3" s="83">
        <f ca="1">COUNTIF(C3:C57, "*expired*")</f>
        <v>0</v>
      </c>
    </row>
    <row r="4" spans="1:17" ht="15.75" thickBot="1" x14ac:dyDescent="0.3">
      <c r="A4" s="102"/>
      <c r="B4" s="93"/>
      <c r="C4" s="69"/>
      <c r="D4" s="55"/>
      <c r="E4" s="60"/>
      <c r="F4" s="60"/>
      <c r="G4" s="97"/>
      <c r="H4" s="96"/>
    </row>
    <row r="5" spans="1:17" ht="18.75" x14ac:dyDescent="0.3">
      <c r="A5" s="102"/>
      <c r="B5" s="93"/>
      <c r="C5" s="69"/>
      <c r="D5" s="55"/>
      <c r="E5" s="60"/>
      <c r="F5" s="60"/>
      <c r="G5" s="97"/>
      <c r="H5" s="96"/>
      <c r="J5" s="164" t="s">
        <v>30</v>
      </c>
      <c r="K5" s="165"/>
      <c r="L5" s="166"/>
    </row>
    <row r="6" spans="1:17" x14ac:dyDescent="0.25">
      <c r="A6" s="102"/>
      <c r="B6" s="93"/>
      <c r="C6" s="69"/>
      <c r="D6" s="55"/>
      <c r="E6" s="60"/>
      <c r="F6" s="60"/>
      <c r="G6" s="97"/>
      <c r="H6" s="96"/>
      <c r="J6" s="81" t="s">
        <v>31</v>
      </c>
      <c r="K6" s="152" t="s">
        <v>34</v>
      </c>
      <c r="L6" s="153"/>
    </row>
    <row r="7" spans="1:17" x14ac:dyDescent="0.25">
      <c r="A7" s="102"/>
      <c r="B7" s="96"/>
      <c r="C7" s="69"/>
      <c r="D7" s="55"/>
      <c r="E7" s="60"/>
      <c r="F7" s="60"/>
      <c r="G7" s="97"/>
      <c r="H7" s="96"/>
      <c r="J7" s="81" t="s">
        <v>32</v>
      </c>
      <c r="K7" s="152" t="s">
        <v>34</v>
      </c>
      <c r="L7" s="153"/>
    </row>
    <row r="8" spans="1:17" x14ac:dyDescent="0.25">
      <c r="A8" s="102"/>
      <c r="B8" s="93"/>
      <c r="C8" s="69"/>
      <c r="D8" s="55"/>
      <c r="E8" s="60"/>
      <c r="F8" s="60"/>
      <c r="G8" s="97"/>
      <c r="H8" s="96"/>
      <c r="J8" s="81" t="s">
        <v>35</v>
      </c>
      <c r="K8" s="148" t="s">
        <v>40</v>
      </c>
      <c r="L8" s="149"/>
    </row>
    <row r="9" spans="1:17" x14ac:dyDescent="0.25">
      <c r="A9" s="102"/>
      <c r="B9" s="93"/>
      <c r="C9" s="69"/>
      <c r="D9" s="55"/>
      <c r="E9" s="60"/>
      <c r="F9" s="60"/>
      <c r="G9" s="97"/>
      <c r="H9" s="96"/>
      <c r="J9" s="81" t="s">
        <v>36</v>
      </c>
      <c r="K9" s="148" t="s">
        <v>41</v>
      </c>
      <c r="L9" s="149"/>
    </row>
    <row r="10" spans="1:17" x14ac:dyDescent="0.25">
      <c r="A10" s="102"/>
      <c r="B10" s="93"/>
      <c r="C10" s="69"/>
      <c r="D10" s="55"/>
      <c r="E10" s="60"/>
      <c r="F10" s="60"/>
      <c r="G10" s="97"/>
      <c r="H10" s="96"/>
      <c r="J10" s="81" t="s">
        <v>39</v>
      </c>
      <c r="K10" s="148" t="s">
        <v>42</v>
      </c>
      <c r="L10" s="149"/>
    </row>
    <row r="11" spans="1:17" ht="15.6" customHeight="1" x14ac:dyDescent="0.25">
      <c r="A11" s="102"/>
      <c r="B11" s="93"/>
      <c r="C11" s="69"/>
      <c r="D11" s="55"/>
      <c r="E11" s="60"/>
      <c r="F11" s="60"/>
      <c r="G11" s="97"/>
      <c r="H11" s="96"/>
      <c r="I11" s="62"/>
      <c r="J11" s="81" t="s">
        <v>37</v>
      </c>
      <c r="K11" s="148" t="s">
        <v>43</v>
      </c>
      <c r="L11" s="149"/>
      <c r="M11" s="57"/>
      <c r="N11" s="57"/>
      <c r="O11" s="57"/>
      <c r="P11" s="57"/>
      <c r="Q11" s="57"/>
    </row>
    <row r="12" spans="1:17" x14ac:dyDescent="0.25">
      <c r="A12" s="102"/>
      <c r="B12" s="93"/>
      <c r="C12" s="69"/>
      <c r="D12" s="55"/>
      <c r="E12" s="60"/>
      <c r="F12" s="60"/>
      <c r="G12" s="97"/>
      <c r="H12" s="96"/>
      <c r="I12" s="62"/>
      <c r="J12" s="88" t="s">
        <v>38</v>
      </c>
      <c r="K12" s="148" t="s">
        <v>44</v>
      </c>
      <c r="L12" s="149"/>
      <c r="M12" s="57"/>
      <c r="N12" s="57"/>
      <c r="O12" s="57"/>
      <c r="P12" s="57"/>
      <c r="Q12" s="57"/>
    </row>
    <row r="13" spans="1:17" ht="15.75" thickBot="1" x14ac:dyDescent="0.3">
      <c r="A13" s="102"/>
      <c r="B13" s="93"/>
      <c r="C13" s="69"/>
      <c r="D13" s="55"/>
      <c r="E13" s="60"/>
      <c r="F13" s="60"/>
      <c r="G13" s="97"/>
      <c r="H13" s="96"/>
      <c r="I13" s="62"/>
      <c r="J13" s="89" t="s">
        <v>46</v>
      </c>
      <c r="K13" s="150" t="s">
        <v>45</v>
      </c>
      <c r="L13" s="151"/>
      <c r="M13" s="57"/>
      <c r="N13" s="57"/>
      <c r="O13" s="57"/>
      <c r="P13" s="57"/>
      <c r="Q13" s="57"/>
    </row>
    <row r="14" spans="1:17" x14ac:dyDescent="0.25">
      <c r="A14" s="102"/>
      <c r="B14" s="93"/>
      <c r="C14" s="69"/>
      <c r="D14" s="55"/>
      <c r="E14" s="60"/>
      <c r="F14" s="60"/>
      <c r="G14" s="97"/>
      <c r="H14" s="96"/>
      <c r="I14" s="62"/>
      <c r="J14" s="57"/>
      <c r="K14" s="57"/>
      <c r="L14" s="57"/>
      <c r="M14" s="57"/>
      <c r="N14" s="57"/>
      <c r="O14" s="57"/>
      <c r="P14" s="57"/>
      <c r="Q14" s="57"/>
    </row>
    <row r="15" spans="1:17" x14ac:dyDescent="0.25">
      <c r="A15" s="102"/>
      <c r="B15" s="93"/>
      <c r="C15" s="69"/>
      <c r="D15" s="55"/>
      <c r="E15" s="60"/>
      <c r="F15" s="60"/>
      <c r="G15" s="97"/>
      <c r="H15" s="96"/>
    </row>
    <row r="16" spans="1:17" x14ac:dyDescent="0.25">
      <c r="A16" s="102"/>
      <c r="B16" s="93"/>
      <c r="C16" s="69"/>
      <c r="D16" s="55"/>
      <c r="E16" s="60"/>
      <c r="F16" s="60"/>
      <c r="G16" s="97"/>
      <c r="H16" s="96"/>
    </row>
    <row r="17" spans="1:17" x14ac:dyDescent="0.25">
      <c r="A17" s="102"/>
      <c r="B17" s="93"/>
      <c r="C17" s="69"/>
      <c r="D17" s="55"/>
      <c r="E17" s="60"/>
      <c r="F17" s="60"/>
      <c r="G17" s="98"/>
      <c r="H17" s="96"/>
    </row>
    <row r="18" spans="1:17" ht="15.75" x14ac:dyDescent="0.25">
      <c r="A18" s="106"/>
      <c r="B18" s="93"/>
      <c r="C18" s="69"/>
      <c r="D18" s="55"/>
      <c r="E18" s="60"/>
      <c r="F18" s="60"/>
      <c r="G18" s="97"/>
      <c r="H18" s="96"/>
    </row>
    <row r="19" spans="1:17" ht="15.75" x14ac:dyDescent="0.25">
      <c r="A19" s="106"/>
      <c r="B19" s="93"/>
      <c r="C19" s="69"/>
      <c r="D19" s="55"/>
      <c r="E19" s="60"/>
      <c r="F19" s="60"/>
      <c r="G19" s="97"/>
      <c r="H19" s="96"/>
    </row>
    <row r="20" spans="1:17" ht="15.75" x14ac:dyDescent="0.25">
      <c r="A20" s="106"/>
      <c r="B20" s="93"/>
      <c r="C20" s="69"/>
      <c r="D20" s="55"/>
      <c r="E20" s="60"/>
      <c r="F20" s="77"/>
      <c r="G20" s="97"/>
      <c r="H20" s="96"/>
      <c r="I20" s="63"/>
      <c r="J20" s="58"/>
      <c r="K20" s="58"/>
      <c r="L20" s="58"/>
      <c r="M20" s="58"/>
      <c r="N20" s="58"/>
      <c r="O20" s="58"/>
      <c r="P20" s="58"/>
      <c r="Q20" s="58"/>
    </row>
    <row r="21" spans="1:17" ht="15.75" x14ac:dyDescent="0.25">
      <c r="A21" s="106"/>
      <c r="B21" s="93"/>
      <c r="C21" s="69"/>
      <c r="D21" s="55"/>
      <c r="E21" s="60"/>
      <c r="F21" s="77"/>
      <c r="G21" s="97"/>
      <c r="H21" s="96"/>
      <c r="I21" s="63"/>
      <c r="J21" s="58"/>
      <c r="K21" s="58"/>
      <c r="L21" s="58"/>
      <c r="M21" s="58"/>
      <c r="N21" s="58"/>
      <c r="O21" s="58"/>
      <c r="P21" s="58"/>
      <c r="Q21" s="58"/>
    </row>
    <row r="22" spans="1:17" ht="15.75" x14ac:dyDescent="0.25">
      <c r="A22" s="106"/>
      <c r="B22" s="93"/>
      <c r="C22" s="69"/>
      <c r="D22" s="55"/>
      <c r="E22" s="60"/>
      <c r="F22" s="77"/>
      <c r="G22" s="97"/>
      <c r="H22" s="96"/>
      <c r="I22" s="63"/>
      <c r="J22" s="58"/>
      <c r="K22" s="58"/>
      <c r="L22" s="58"/>
      <c r="M22" s="58"/>
      <c r="N22" s="58"/>
      <c r="O22" s="58"/>
      <c r="P22" s="58"/>
      <c r="Q22" s="58"/>
    </row>
    <row r="23" spans="1:17" ht="15.75" x14ac:dyDescent="0.25">
      <c r="A23" s="106"/>
      <c r="B23" s="93"/>
      <c r="C23" s="69"/>
      <c r="D23" s="55"/>
      <c r="E23" s="60"/>
      <c r="F23" s="77"/>
      <c r="G23" s="97"/>
      <c r="H23" s="96"/>
      <c r="I23" s="63"/>
      <c r="J23" s="58"/>
      <c r="K23" s="58"/>
      <c r="L23" s="58"/>
      <c r="M23" s="58"/>
      <c r="N23" s="58"/>
      <c r="O23" s="58"/>
      <c r="P23" s="58"/>
      <c r="Q23" s="58"/>
    </row>
    <row r="24" spans="1:17" ht="15.75" x14ac:dyDescent="0.25">
      <c r="A24" s="106"/>
      <c r="B24" s="93"/>
      <c r="C24" s="69"/>
      <c r="D24" s="55"/>
      <c r="E24" s="60"/>
      <c r="F24" s="60"/>
      <c r="G24" s="97"/>
      <c r="H24" s="96"/>
    </row>
    <row r="25" spans="1:17" ht="15.75" x14ac:dyDescent="0.25">
      <c r="A25" s="106"/>
      <c r="B25" s="93"/>
      <c r="C25" s="69"/>
      <c r="D25" s="55"/>
      <c r="E25" s="60"/>
      <c r="F25" s="60"/>
      <c r="G25" s="97"/>
      <c r="H25" s="96"/>
    </row>
    <row r="26" spans="1:17" ht="15.75" x14ac:dyDescent="0.25">
      <c r="A26" s="106"/>
      <c r="B26" s="93"/>
      <c r="C26" s="69"/>
      <c r="D26" s="55"/>
      <c r="E26" s="60"/>
      <c r="F26" s="60"/>
      <c r="G26" s="97"/>
      <c r="H26" s="96"/>
    </row>
    <row r="27" spans="1:17" ht="15.75" x14ac:dyDescent="0.25">
      <c r="A27" s="106"/>
      <c r="B27" s="93"/>
      <c r="C27" s="69"/>
      <c r="D27" s="55"/>
      <c r="E27" s="60"/>
      <c r="F27" s="60"/>
      <c r="G27" s="97"/>
      <c r="H27" s="96"/>
    </row>
    <row r="28" spans="1:17" ht="15.75" x14ac:dyDescent="0.25">
      <c r="A28" s="106"/>
      <c r="B28" s="93"/>
      <c r="C28" s="69"/>
      <c r="D28" s="55"/>
      <c r="E28" s="60"/>
      <c r="F28" s="60"/>
      <c r="G28" s="97"/>
      <c r="H28" s="96"/>
    </row>
    <row r="29" spans="1:17" ht="15.75" x14ac:dyDescent="0.25">
      <c r="A29" s="106"/>
      <c r="B29" s="93"/>
      <c r="C29" s="69" t="str">
        <f>IF(ISBLANK(B29), "", IF(0&gt;=(B29-'Nurse Grid Dashboard'!$B$2), "EXPIRED", IF(AND((B29-'Nurse Grid Dashboard'!$B$2)&gt;0, (B29-'Nurse Grid Dashboard'!$B$2)&lt;=90), "EXPIRES SOON", "GOOD STANDING")))</f>
        <v/>
      </c>
      <c r="D29" s="55"/>
      <c r="E29" s="60"/>
      <c r="F29" s="60"/>
      <c r="G29" s="97"/>
      <c r="H29" s="96"/>
    </row>
    <row r="30" spans="1:17" ht="15.75" x14ac:dyDescent="0.25">
      <c r="A30" s="106"/>
      <c r="B30" s="93"/>
      <c r="C30" s="69" t="str">
        <f>IF(ISBLANK(B30), "", IF(0&gt;=(B30-'Nurse Grid Dashboard'!$B$2), "EXPIRED", IF(AND((B30-'Nurse Grid Dashboard'!$B$2)&gt;0, (B30-'Nurse Grid Dashboard'!$B$2)&lt;=90), "EXPIRES SOON", "GOOD STANDING")))</f>
        <v/>
      </c>
      <c r="D30" s="55"/>
      <c r="E30" s="60"/>
      <c r="F30" s="60"/>
      <c r="G30" s="97"/>
      <c r="H30" s="96"/>
    </row>
    <row r="31" spans="1:17" ht="15.75" x14ac:dyDescent="0.25">
      <c r="A31" s="106"/>
      <c r="B31" s="93"/>
      <c r="C31" s="69" t="str">
        <f>IF(ISBLANK(B31), "", IF(0&gt;=(B31-'Nurse Grid Dashboard'!$B$2), "EXPIRED", IF(AND((B31-'Nurse Grid Dashboard'!$B$2)&gt;0, (B31-'Nurse Grid Dashboard'!$B$2)&lt;=90), "EXPIRES SOON", "GOOD STANDING")))</f>
        <v/>
      </c>
      <c r="D31" s="55"/>
      <c r="E31" s="60"/>
      <c r="F31" s="60"/>
      <c r="G31" s="97"/>
      <c r="H31" s="96"/>
    </row>
    <row r="32" spans="1:17" ht="15.75" x14ac:dyDescent="0.25">
      <c r="A32" s="106"/>
      <c r="B32" s="93"/>
      <c r="C32" s="69" t="str">
        <f>IF(ISBLANK(B32), "", IF(0&gt;=(B32-'Nurse Grid Dashboard'!$B$2), "EXPIRED", IF(AND((B32-'Nurse Grid Dashboard'!$B$2)&gt;0, (B32-'Nurse Grid Dashboard'!$B$2)&lt;=90), "EXPIRES SOON", "GOOD STANDING")))</f>
        <v/>
      </c>
      <c r="D32" s="55"/>
      <c r="E32" s="60"/>
      <c r="F32" s="60"/>
      <c r="G32" s="97"/>
      <c r="H32" s="96"/>
    </row>
    <row r="33" spans="1:8" ht="15.75" x14ac:dyDescent="0.25">
      <c r="A33" s="106"/>
      <c r="B33" s="93"/>
      <c r="C33" s="69" t="str">
        <f>IF(ISBLANK(B33), "", IF(0&gt;=(B33-'Nurse Grid Dashboard'!$B$2), "EXPIRED", IF(AND((B33-'Nurse Grid Dashboard'!$B$2)&gt;0, (B33-'Nurse Grid Dashboard'!$B$2)&lt;=90), "EXPIRES SOON", "GOOD STANDING")))</f>
        <v/>
      </c>
      <c r="D33" s="55"/>
      <c r="E33" s="60"/>
      <c r="F33" s="60"/>
      <c r="G33" s="97"/>
      <c r="H33" s="96"/>
    </row>
    <row r="34" spans="1:8" ht="15.75" x14ac:dyDescent="0.25">
      <c r="A34" s="106"/>
      <c r="B34" s="96"/>
      <c r="C34" s="69" t="str">
        <f>IF(ISBLANK(B34), "", IF(0&gt;=(B34-'Nurse Grid Dashboard'!$B$2), "EXPIRED", IF(AND((B34-'Nurse Grid Dashboard'!$B$2)&gt;0, (B34-'Nurse Grid Dashboard'!$B$2)&lt;=90), "EXPIRES SOON", "GOOD STANDING")))</f>
        <v/>
      </c>
      <c r="D34" s="55"/>
      <c r="E34" s="60"/>
      <c r="F34" s="60"/>
      <c r="G34" s="60"/>
      <c r="H34" s="96"/>
    </row>
    <row r="35" spans="1:8" ht="15.75" x14ac:dyDescent="0.25">
      <c r="A35" s="106"/>
      <c r="B35" s="96"/>
      <c r="C35" s="69" t="str">
        <f>IF(ISBLANK(B35), "", IF(0&gt;=(B35-'Nurse Grid Dashboard'!$B$2), "EXPIRED", IF(AND((B35-'Nurse Grid Dashboard'!$B$2)&gt;0, (B35-'Nurse Grid Dashboard'!$B$2)&lt;=90), "EXPIRES SOON", "GOOD STANDING")))</f>
        <v/>
      </c>
      <c r="D35" s="55"/>
      <c r="E35" s="60"/>
      <c r="F35" s="60"/>
      <c r="G35" s="60"/>
      <c r="H35" s="96"/>
    </row>
    <row r="36" spans="1:8" ht="15.75" x14ac:dyDescent="0.25">
      <c r="A36" s="106"/>
      <c r="B36" s="96"/>
      <c r="C36" s="69" t="str">
        <f>IF(ISBLANK(B36), "", IF(0&gt;=(B36-'Nurse Grid Dashboard'!$B$2), "EXPIRED", IF(AND((B36-'Nurse Grid Dashboard'!$B$2)&gt;0, (B36-'Nurse Grid Dashboard'!$B$2)&lt;=90), "EXPIRES SOON", "GOOD STANDING")))</f>
        <v/>
      </c>
      <c r="D36" s="55"/>
      <c r="E36" s="60"/>
      <c r="F36" s="60"/>
      <c r="G36" s="60"/>
      <c r="H36" s="96"/>
    </row>
    <row r="37" spans="1:8" ht="15.75" x14ac:dyDescent="0.25">
      <c r="A37" s="106"/>
      <c r="B37" s="96"/>
      <c r="C37" s="69" t="str">
        <f>IF(ISBLANK(B37), "", IF(0&gt;=(B37-'Nurse Grid Dashboard'!$B$2), "EXPIRED", IF(AND((B37-'Nurse Grid Dashboard'!$B$2)&gt;0, (B37-'Nurse Grid Dashboard'!$B$2)&lt;=90), "EXPIRES SOON", "GOOD STANDING")))</f>
        <v/>
      </c>
      <c r="D37" s="55"/>
      <c r="E37" s="60"/>
      <c r="F37" s="60"/>
      <c r="G37" s="60"/>
      <c r="H37" s="96"/>
    </row>
    <row r="38" spans="1:8" ht="15.75" x14ac:dyDescent="0.25">
      <c r="A38" s="106"/>
      <c r="B38" s="54"/>
      <c r="C38" s="69" t="str">
        <f>IF(ISBLANK(B38), "", IF(0&gt;=(B38-'Nurse Grid Dashboard'!$B$2), "EXPIRED", IF(AND((B38-'Nurse Grid Dashboard'!$B$2)&gt;0, (B38-'Nurse Grid Dashboard'!$B$2)&lt;=90), "EXPIRES SOON", "GOOD STANDING")))</f>
        <v/>
      </c>
      <c r="D38" s="55"/>
      <c r="E38" s="60"/>
      <c r="F38" s="60"/>
      <c r="G38" s="60"/>
      <c r="H38" s="96"/>
    </row>
    <row r="39" spans="1:8" ht="15.75" x14ac:dyDescent="0.25">
      <c r="A39" s="71"/>
      <c r="B39" s="54"/>
      <c r="C39" s="69" t="str">
        <f>IF(ISBLANK(B39), "", IF(0&gt;=(B39-'Nurse Grid Dashboard'!$B$2), "EXPIRED", IF(AND((B39-'Nurse Grid Dashboard'!$B$2)&gt;0, (B39-'Nurse Grid Dashboard'!$B$2)&lt;=90), "EXPIRES SOON", "GOOD STANDING")))</f>
        <v/>
      </c>
      <c r="D39" s="55"/>
      <c r="E39" s="60"/>
      <c r="F39" s="60"/>
      <c r="G39" s="60"/>
      <c r="H39" s="70"/>
    </row>
    <row r="40" spans="1:8" ht="15.75" x14ac:dyDescent="0.25">
      <c r="A40" s="71"/>
      <c r="B40" s="54"/>
      <c r="C40" s="69" t="str">
        <f>IF(ISBLANK(B40), "", IF(0&gt;=(B40-'Nurse Grid Dashboard'!$B$2), "EXPIRED", IF(AND((B40-'Nurse Grid Dashboard'!$B$2)&gt;0, (B40-'Nurse Grid Dashboard'!$B$2)&lt;=90), "EXPIRES SOON", "GOOD STANDING")))</f>
        <v/>
      </c>
      <c r="D40" s="55"/>
      <c r="E40" s="60"/>
      <c r="F40" s="60"/>
      <c r="G40" s="60"/>
      <c r="H40" s="70"/>
    </row>
    <row r="41" spans="1:8" ht="15.75" x14ac:dyDescent="0.25">
      <c r="A41" s="71"/>
      <c r="B41" s="54"/>
      <c r="C41" s="69" t="str">
        <f>IF(ISBLANK(B41), "", IF(0&gt;=(B41-'Nurse Grid Dashboard'!$B$2), "EXPIRED", IF(AND((B41-'Nurse Grid Dashboard'!$B$2)&gt;0, (B41-'Nurse Grid Dashboard'!$B$2)&lt;=90), "EXPIRES SOON", "GOOD STANDING")))</f>
        <v/>
      </c>
      <c r="D41" s="55"/>
      <c r="E41" s="60"/>
      <c r="F41" s="60"/>
      <c r="G41" s="60"/>
      <c r="H41" s="70"/>
    </row>
    <row r="42" spans="1:8" ht="15.75" x14ac:dyDescent="0.25">
      <c r="A42" s="71"/>
      <c r="B42" s="54"/>
      <c r="C42" s="69" t="str">
        <f>IF(ISBLANK(B42), "", IF(0&gt;=(B42-'Nurse Grid Dashboard'!$B$2), "EXPIRED", IF(AND((B42-'Nurse Grid Dashboard'!$B$2)&gt;0, (B42-'Nurse Grid Dashboard'!$B$2)&lt;=90), "EXPIRES SOON", "GOOD STANDING")))</f>
        <v/>
      </c>
      <c r="D42" s="55"/>
      <c r="E42" s="60"/>
      <c r="F42" s="60"/>
      <c r="G42" s="60"/>
      <c r="H42" s="70"/>
    </row>
    <row r="43" spans="1:8" ht="15.75" x14ac:dyDescent="0.25">
      <c r="A43" s="71"/>
      <c r="B43" s="54"/>
      <c r="C43" s="69" t="str">
        <f>IF(ISBLANK(B43), "", IF(0&gt;=(B43-'Nurse Grid Dashboard'!$B$2), "EXPIRED", IF(AND((B43-'Nurse Grid Dashboard'!$B$2)&gt;0, (B43-'Nurse Grid Dashboard'!$B$2)&lt;=90), "EXPIRES SOON", "GOOD STANDING")))</f>
        <v/>
      </c>
      <c r="D43" s="55"/>
      <c r="E43" s="60"/>
      <c r="F43" s="60"/>
      <c r="G43" s="60"/>
      <c r="H43" s="70"/>
    </row>
    <row r="44" spans="1:8" ht="15.75" x14ac:dyDescent="0.25">
      <c r="A44" s="71"/>
      <c r="B44" s="54"/>
      <c r="C44" s="69" t="str">
        <f>IF(ISBLANK(B44), "", IF(0&gt;=(B44-'Nurse Grid Dashboard'!$B$2), "EXPIRED", IF(AND((B44-'Nurse Grid Dashboard'!$B$2)&gt;0, (B44-'Nurse Grid Dashboard'!$B$2)&lt;=90), "EXPIRES SOON", "GOOD STANDING")))</f>
        <v/>
      </c>
      <c r="D44" s="55"/>
      <c r="E44" s="60"/>
      <c r="F44" s="60"/>
      <c r="G44" s="60"/>
      <c r="H44" s="70"/>
    </row>
    <row r="45" spans="1:8" ht="15.75" x14ac:dyDescent="0.25">
      <c r="A45" s="71"/>
      <c r="B45" s="54"/>
      <c r="C45" s="69" t="str">
        <f>IF(ISBLANK(B45), "", IF(0&gt;=(B45-'Nurse Grid Dashboard'!$B$2), "EXPIRED", IF(AND((B45-'Nurse Grid Dashboard'!$B$2)&gt;0, (B45-'Nurse Grid Dashboard'!$B$2)&lt;=90), "EXPIRES SOON", "GOOD STANDING")))</f>
        <v/>
      </c>
      <c r="D45" s="55"/>
      <c r="E45" s="60"/>
      <c r="F45" s="60"/>
      <c r="G45" s="60"/>
      <c r="H45" s="70"/>
    </row>
    <row r="46" spans="1:8" ht="15.75" x14ac:dyDescent="0.25">
      <c r="A46" s="71"/>
      <c r="B46" s="54"/>
      <c r="C46" s="69" t="str">
        <f>IF(ISBLANK(B46), "", IF(0&gt;=(B46-'Nurse Grid Dashboard'!$B$2), "EXPIRED", IF(AND((B46-'Nurse Grid Dashboard'!$B$2)&gt;0, (B46-'Nurse Grid Dashboard'!$B$2)&lt;=90), "EXPIRES SOON", "GOOD STANDING")))</f>
        <v/>
      </c>
      <c r="D46" s="55"/>
      <c r="E46" s="60"/>
      <c r="F46" s="60"/>
      <c r="G46" s="60"/>
      <c r="H46" s="70"/>
    </row>
    <row r="47" spans="1:8" ht="15.75" x14ac:dyDescent="0.25">
      <c r="A47" s="71"/>
      <c r="B47" s="54"/>
      <c r="C47" s="69" t="str">
        <f>IF(ISBLANK(B47), "", IF(0&gt;=(B47-'Nurse Grid Dashboard'!$B$2), "EXPIRED", IF(AND((B47-'Nurse Grid Dashboard'!$B$2)&gt;0, (B47-'Nurse Grid Dashboard'!$B$2)&lt;=90), "EXPIRES SOON", "GOOD STANDING")))</f>
        <v/>
      </c>
      <c r="D47" s="55"/>
      <c r="E47" s="60"/>
      <c r="F47" s="60"/>
      <c r="G47" s="60"/>
      <c r="H47" s="70"/>
    </row>
    <row r="48" spans="1:8" ht="15.75" x14ac:dyDescent="0.25">
      <c r="A48" s="71"/>
      <c r="B48" s="54"/>
      <c r="C48" s="69" t="str">
        <f>IF(ISBLANK(B48), "", IF(0&gt;=(B48-'Nurse Grid Dashboard'!$B$2), "EXPIRED", IF(AND((B48-'Nurse Grid Dashboard'!$B$2)&gt;0, (B48-'Nurse Grid Dashboard'!$B$2)&lt;=90), "EXPIRES SOON", "GOOD STANDING")))</f>
        <v/>
      </c>
      <c r="D48" s="55"/>
      <c r="E48" s="60"/>
      <c r="F48" s="60"/>
      <c r="G48" s="60"/>
      <c r="H48" s="70"/>
    </row>
    <row r="49" spans="1:8" ht="15.75" x14ac:dyDescent="0.25">
      <c r="A49" s="71"/>
      <c r="B49" s="54"/>
      <c r="C49" s="69" t="str">
        <f>IF(ISBLANK(B49), "", IF(0&gt;=(B49-'Nurse Grid Dashboard'!$B$2), "EXPIRED", IF(AND((B49-'Nurse Grid Dashboard'!$B$2)&gt;0, (B49-'Nurse Grid Dashboard'!$B$2)&lt;=90), "EXPIRES SOON", "GOOD STANDING")))</f>
        <v/>
      </c>
      <c r="D49" s="55"/>
      <c r="E49" s="60"/>
      <c r="F49" s="60"/>
      <c r="G49" s="60"/>
      <c r="H49" s="70"/>
    </row>
    <row r="50" spans="1:8" ht="15.75" x14ac:dyDescent="0.25">
      <c r="A50" s="71"/>
      <c r="B50" s="54"/>
      <c r="C50" s="69" t="str">
        <f>IF(ISBLANK(B50), "", IF(0&gt;=(B50-'Nurse Grid Dashboard'!$B$2), "EXPIRED", IF(AND((B50-'Nurse Grid Dashboard'!$B$2)&gt;0, (B50-'Nurse Grid Dashboard'!$B$2)&lt;=90), "EXPIRES SOON", "GOOD STANDING")))</f>
        <v/>
      </c>
      <c r="D50" s="55"/>
      <c r="E50" s="60"/>
      <c r="F50" s="60"/>
      <c r="G50" s="60"/>
      <c r="H50" s="70"/>
    </row>
    <row r="51" spans="1:8" ht="15.75" x14ac:dyDescent="0.25">
      <c r="A51" s="71"/>
      <c r="B51" s="54"/>
      <c r="C51" s="69" t="str">
        <f>IF(ISBLANK(B51), "", IF(0&gt;=(B51-'Nurse Grid Dashboard'!$B$2), "EXPIRED", IF(AND((B51-'Nurse Grid Dashboard'!$B$2)&gt;0, (B51-'Nurse Grid Dashboard'!$B$2)&lt;=90), "EXPIRES SOON", "GOOD STANDING")))</f>
        <v/>
      </c>
      <c r="D51" s="55"/>
      <c r="E51" s="60"/>
      <c r="F51" s="60"/>
      <c r="G51" s="60"/>
      <c r="H51" s="70"/>
    </row>
    <row r="52" spans="1:8" ht="15.75" x14ac:dyDescent="0.25">
      <c r="A52" s="71"/>
      <c r="B52" s="54"/>
      <c r="C52" s="69" t="str">
        <f>IF(ISBLANK(B52), "", IF(0&gt;=(B52-'Nurse Grid Dashboard'!$B$2), "EXPIRED", IF(AND((B52-'Nurse Grid Dashboard'!$B$2)&gt;0, (B52-'Nurse Grid Dashboard'!$B$2)&lt;=90), "EXPIRES SOON", "GOOD STANDING")))</f>
        <v/>
      </c>
      <c r="D52" s="55"/>
      <c r="E52" s="60"/>
      <c r="F52" s="60"/>
      <c r="G52" s="60"/>
      <c r="H52" s="70"/>
    </row>
    <row r="53" spans="1:8" ht="15.75" x14ac:dyDescent="0.25">
      <c r="A53" s="71"/>
      <c r="B53" s="54"/>
      <c r="C53" s="69" t="str">
        <f>IF(ISBLANK(B53), "", IF(0&gt;=(B53-'Nurse Grid Dashboard'!$B$2), "EXPIRED", IF(AND((B53-'Nurse Grid Dashboard'!$B$2)&gt;0, (B53-'Nurse Grid Dashboard'!$B$2)&lt;=90), "EXPIRES SOON", "GOOD STANDING")))</f>
        <v/>
      </c>
      <c r="D53" s="55"/>
      <c r="E53" s="60"/>
      <c r="F53" s="60"/>
      <c r="G53" s="60"/>
      <c r="H53" s="70"/>
    </row>
    <row r="54" spans="1:8" ht="15.75" x14ac:dyDescent="0.25">
      <c r="A54" s="71"/>
      <c r="B54" s="54"/>
      <c r="C54" s="69" t="str">
        <f>IF(ISBLANK(B54), "", IF(0&gt;=(B54-'Nurse Grid Dashboard'!$B$2), "EXPIRED", IF(AND((B54-'Nurse Grid Dashboard'!$B$2)&gt;0, (B54-'Nurse Grid Dashboard'!$B$2)&lt;=90), "EXPIRES SOON", "GOOD STANDING")))</f>
        <v/>
      </c>
      <c r="D54" s="55"/>
      <c r="E54" s="60"/>
      <c r="F54" s="60"/>
      <c r="G54" s="60"/>
      <c r="H54" s="70"/>
    </row>
    <row r="55" spans="1:8" ht="15.75" x14ac:dyDescent="0.25">
      <c r="A55" s="71"/>
      <c r="B55" s="54"/>
      <c r="C55" s="69" t="str">
        <f>IF(ISBLANK(B55), "", IF(0&gt;=(B55-'Nurse Grid Dashboard'!$B$2), "EXPIRED", IF(AND((B55-'Nurse Grid Dashboard'!$B$2)&gt;0, (B55-'Nurse Grid Dashboard'!$B$2)&lt;=90), "EXPIRES SOON", "GOOD STANDING")))</f>
        <v/>
      </c>
      <c r="D55" s="55"/>
      <c r="E55" s="60"/>
      <c r="F55" s="60"/>
      <c r="G55" s="60"/>
      <c r="H55" s="70"/>
    </row>
    <row r="56" spans="1:8" ht="15.75" x14ac:dyDescent="0.25">
      <c r="A56" s="71"/>
      <c r="B56" s="54"/>
      <c r="C56" s="69" t="str">
        <f>IF(ISBLANK(B56), "", IF(0&gt;=(B56-'Nurse Grid Dashboard'!$B$2), "EXPIRED", IF(AND((B56-'Nurse Grid Dashboard'!$B$2)&gt;0, (B56-'Nurse Grid Dashboard'!$B$2)&lt;=90), "EXPIRES SOON", "GOOD STANDING")))</f>
        <v/>
      </c>
      <c r="D56" s="55"/>
      <c r="E56" s="60"/>
      <c r="F56" s="60"/>
      <c r="G56" s="60"/>
      <c r="H56" s="70"/>
    </row>
    <row r="57" spans="1:8" ht="16.5" thickBot="1" x14ac:dyDescent="0.3">
      <c r="A57" s="72"/>
      <c r="B57" s="73"/>
      <c r="C57" s="78" t="str">
        <f>IF(ISBLANK(B57), "", IF(0&gt;=(B57-'Nurse Grid Dashboard'!$B$2), "EXPIRED", IF(AND((B57-'Nurse Grid Dashboard'!$B$2)&gt;0, (B57-'Nurse Grid Dashboard'!$B$2)&lt;=90), "EXPIRES SOON", "GOOD STANDING")))</f>
        <v/>
      </c>
      <c r="D57" s="74"/>
      <c r="E57" s="75"/>
      <c r="F57" s="75"/>
      <c r="G57" s="75"/>
      <c r="H57" s="76"/>
    </row>
  </sheetData>
  <mergeCells count="14">
    <mergeCell ref="K13:L13"/>
    <mergeCell ref="H1:H2"/>
    <mergeCell ref="K7:L7"/>
    <mergeCell ref="K8:L8"/>
    <mergeCell ref="K9:L9"/>
    <mergeCell ref="K10:L10"/>
    <mergeCell ref="K11:L11"/>
    <mergeCell ref="K12:L12"/>
    <mergeCell ref="K6:L6"/>
    <mergeCell ref="B1:C1"/>
    <mergeCell ref="D1:F1"/>
    <mergeCell ref="G1:G2"/>
    <mergeCell ref="J1:L1"/>
    <mergeCell ref="J5:L5"/>
  </mergeCells>
  <conditionalFormatting sqref="C3:C57">
    <cfRule type="containsText" dxfId="83" priority="1" operator="containsText" text="EXPIRED">
      <formula>NOT(ISERROR(SEARCH("EXPIRED",C3)))</formula>
    </cfRule>
    <cfRule type="containsText" dxfId="82" priority="2" operator="containsText" text="GOOD STANDING">
      <formula>NOT(ISERROR(SEARCH("GOOD STANDING",C3)))</formula>
    </cfRule>
    <cfRule type="containsText" dxfId="81" priority="3" operator="containsText" text="EXPIRED">
      <formula>NOT(ISERROR(SEARCH("EXPIRED",C3)))</formula>
    </cfRule>
    <cfRule type="containsText" dxfId="80" priority="4" operator="containsText" text="EXPIRED">
      <formula>NOT(ISERROR(SEARCH("EXPIRED",C3)))</formula>
    </cfRule>
    <cfRule type="containsText" dxfId="79" priority="5" operator="containsText" text="EXPIRED">
      <formula>NOT(ISERROR(SEARCH("EXPIRED",C3)))</formula>
    </cfRule>
    <cfRule type="containsText" dxfId="78" priority="6" operator="containsText" text="EXPIRES SOON">
      <formula>NOT(ISERROR(SEARCH("EXPIRES SOON",C3)))</formula>
    </cfRule>
    <cfRule type="containsText" dxfId="77" priority="7" operator="containsText" text="GOOD STANDING">
      <formula>NOT(ISERROR(SEARCH("GOOD STANDING",C3)))</formula>
    </cfRule>
    <cfRule type="containsText" dxfId="76" priority="12" operator="containsText" text="EXPIRES SOON">
      <formula>NOT(ISERROR(SEARCH("EXPIRES SOON",C3)))</formula>
    </cfRule>
  </conditionalFormatting>
  <conditionalFormatting sqref="C14">
    <cfRule type="containsText" dxfId="75" priority="8" operator="containsText" text="GOOD STANDING">
      <formula>NOT(ISERROR(SEARCH("GOOD STANDING",C14)))</formula>
    </cfRule>
    <cfRule type="containsText" dxfId="74" priority="9" operator="containsText" text="GOOD$C$14">
      <formula>NOT(ISERROR(SEARCH("GOOD$C$14",C14)))</formula>
    </cfRule>
    <cfRule type="containsText" dxfId="73" priority="10" operator="containsText" text="GOOD$14:$14 STANDING">
      <formula>NOT(ISERROR(SEARCH("GOOD$14:$14 STANDING",C14)))</formula>
    </cfRule>
    <cfRule type="cellIs" dxfId="72" priority="11" operator="equal">
      <formula>"'GOOD STANDING"</formula>
    </cfRule>
  </conditionalFormatting>
  <hyperlinks>
    <hyperlink ref="K6" r:id="rId1" display="davidpeterkramer@outlook.com" xr:uid="{5624033B-F702-4B7F-9528-C54F11F0BD00}"/>
    <hyperlink ref="K7" r:id="rId2" display="rileyanne1@ec.rr.com" xr:uid="{5B1C7C9B-FBAE-4D21-A532-44F6104BF441}"/>
    <hyperlink ref="G3" r:id="rId3" xr:uid="{18C1E90E-6A24-45B3-9A79-875604DB804A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0BEA-D713-4608-A322-5D6A2D3B8A7F}">
  <sheetPr codeName="Sheet9"/>
  <dimension ref="A1:Q57"/>
  <sheetViews>
    <sheetView topLeftCell="A2" zoomScaleNormal="100" workbookViewId="0">
      <selection activeCell="K7" sqref="K7:L7"/>
    </sheetView>
  </sheetViews>
  <sheetFormatPr defaultRowHeight="15" x14ac:dyDescent="0.25"/>
  <cols>
    <col min="1" max="1" width="28.28515625" customWidth="1"/>
    <col min="2" max="2" width="17.28515625" customWidth="1"/>
    <col min="3" max="3" width="23.28515625" customWidth="1"/>
    <col min="4" max="5" width="8.7109375" style="53" customWidth="1"/>
    <col min="6" max="6" width="8.85546875" style="53" customWidth="1"/>
    <col min="7" max="8" width="33.5703125" style="53" customWidth="1"/>
    <col min="9" max="9" width="9.42578125" style="53" customWidth="1"/>
    <col min="10" max="10" width="16.28515625" bestFit="1" customWidth="1"/>
    <col min="11" max="11" width="17.140625" customWidth="1"/>
    <col min="12" max="12" width="17.7109375" customWidth="1"/>
  </cols>
  <sheetData>
    <row r="1" spans="1:17" ht="23.65" customHeight="1" thickBot="1" x14ac:dyDescent="0.35">
      <c r="A1" s="101" t="s">
        <v>11</v>
      </c>
      <c r="B1" s="159" t="s">
        <v>6</v>
      </c>
      <c r="C1" s="160"/>
      <c r="D1" s="161" t="s">
        <v>22</v>
      </c>
      <c r="E1" s="162"/>
      <c r="F1" s="163"/>
      <c r="G1" s="154" t="s">
        <v>33</v>
      </c>
      <c r="H1" s="154" t="s">
        <v>48</v>
      </c>
      <c r="J1" s="156" t="s">
        <v>26</v>
      </c>
      <c r="K1" s="157"/>
      <c r="L1" s="158"/>
    </row>
    <row r="2" spans="1:17" ht="19.5" thickBot="1" x14ac:dyDescent="0.35">
      <c r="A2" s="94" t="s">
        <v>4</v>
      </c>
      <c r="B2" s="65" t="s">
        <v>0</v>
      </c>
      <c r="C2" s="61" t="s">
        <v>5</v>
      </c>
      <c r="D2" s="66" t="s">
        <v>23</v>
      </c>
      <c r="E2" s="67" t="s">
        <v>24</v>
      </c>
      <c r="F2" s="68" t="s">
        <v>25</v>
      </c>
      <c r="G2" s="155"/>
      <c r="H2" s="155"/>
      <c r="J2" s="84" t="s">
        <v>27</v>
      </c>
      <c r="K2" s="87" t="s">
        <v>28</v>
      </c>
      <c r="L2" s="85" t="s">
        <v>29</v>
      </c>
    </row>
    <row r="3" spans="1:17" ht="16.5" thickBot="1" x14ac:dyDescent="0.3">
      <c r="A3" s="108" t="s">
        <v>51</v>
      </c>
      <c r="B3" s="93">
        <v>45401</v>
      </c>
      <c r="C3" s="69" t="str">
        <f ca="1">IF(ISBLANK(B3), "", IF(0&gt;=(B3-'Nurse Grid Dashboard'!$B$2), "EXPIRED", IF(AND((B3-'Nurse Grid Dashboard'!$B$2)&gt;0, (B3-'Nurse Grid Dashboard'!$B$2)&lt;=90), "EXPIRES SOON", "GOOD STANDING")))</f>
        <v>EXPIRED</v>
      </c>
      <c r="D3" s="56"/>
      <c r="E3" s="59"/>
      <c r="F3" s="60"/>
      <c r="G3" s="97"/>
      <c r="H3" s="109"/>
      <c r="J3" s="82">
        <f ca="1">COUNTIF(C3:C57, "*good standing*")</f>
        <v>0</v>
      </c>
      <c r="K3" s="86">
        <f ca="1">COUNTIF(C3:C57, "*expires soon*")</f>
        <v>0</v>
      </c>
      <c r="L3" s="83">
        <f ca="1">COUNTIF(C3:C57, "*expired*")</f>
        <v>1</v>
      </c>
    </row>
    <row r="4" spans="1:17" ht="16.5" thickBot="1" x14ac:dyDescent="0.3">
      <c r="A4" s="106"/>
      <c r="B4" s="93"/>
      <c r="C4" s="69"/>
      <c r="D4" s="55"/>
      <c r="E4" s="60"/>
      <c r="F4" s="60"/>
      <c r="G4" s="97"/>
      <c r="H4" s="96"/>
    </row>
    <row r="5" spans="1:17" ht="18.75" x14ac:dyDescent="0.3">
      <c r="A5" s="106"/>
      <c r="B5" s="93"/>
      <c r="C5" s="69"/>
      <c r="D5" s="55"/>
      <c r="E5" s="60"/>
      <c r="F5" s="60"/>
      <c r="G5" s="97"/>
      <c r="H5" s="96"/>
      <c r="J5" s="164" t="s">
        <v>30</v>
      </c>
      <c r="K5" s="165"/>
      <c r="L5" s="166"/>
    </row>
    <row r="6" spans="1:17" ht="15.75" x14ac:dyDescent="0.25">
      <c r="A6" s="106"/>
      <c r="B6" s="93"/>
      <c r="C6" s="69"/>
      <c r="D6" s="55"/>
      <c r="E6" s="60"/>
      <c r="F6" s="60"/>
      <c r="G6" s="97"/>
      <c r="H6" s="96"/>
      <c r="J6" s="81" t="s">
        <v>31</v>
      </c>
      <c r="K6" s="152" t="s">
        <v>34</v>
      </c>
      <c r="L6" s="153"/>
    </row>
    <row r="7" spans="1:17" ht="15.75" x14ac:dyDescent="0.25">
      <c r="A7" s="106"/>
      <c r="B7" s="96"/>
      <c r="C7" s="69"/>
      <c r="D7" s="55"/>
      <c r="E7" s="60"/>
      <c r="F7" s="60"/>
      <c r="G7" s="97"/>
      <c r="H7" s="96"/>
      <c r="J7" s="81" t="s">
        <v>32</v>
      </c>
      <c r="K7" s="152" t="s">
        <v>34</v>
      </c>
      <c r="L7" s="153"/>
    </row>
    <row r="8" spans="1:17" ht="15.75" x14ac:dyDescent="0.25">
      <c r="A8" s="106"/>
      <c r="B8" s="93"/>
      <c r="C8" s="69"/>
      <c r="D8" s="55"/>
      <c r="E8" s="60"/>
      <c r="F8" s="60"/>
      <c r="G8" s="97"/>
      <c r="H8" s="96"/>
      <c r="J8" s="81" t="s">
        <v>35</v>
      </c>
      <c r="K8" s="148" t="s">
        <v>40</v>
      </c>
      <c r="L8" s="149"/>
    </row>
    <row r="9" spans="1:17" ht="15.75" x14ac:dyDescent="0.25">
      <c r="A9" s="106"/>
      <c r="B9" s="93"/>
      <c r="C9" s="69"/>
      <c r="D9" s="55"/>
      <c r="E9" s="60"/>
      <c r="F9" s="60"/>
      <c r="G9" s="97"/>
      <c r="H9" s="96"/>
      <c r="J9" s="81" t="s">
        <v>36</v>
      </c>
      <c r="K9" s="148" t="s">
        <v>41</v>
      </c>
      <c r="L9" s="149"/>
    </row>
    <row r="10" spans="1:17" ht="15.75" x14ac:dyDescent="0.25">
      <c r="A10" s="106"/>
      <c r="B10" s="93"/>
      <c r="C10" s="69"/>
      <c r="D10" s="55"/>
      <c r="E10" s="60"/>
      <c r="F10" s="60"/>
      <c r="G10" s="97"/>
      <c r="H10" s="96"/>
      <c r="J10" s="81" t="s">
        <v>39</v>
      </c>
      <c r="K10" s="148" t="s">
        <v>42</v>
      </c>
      <c r="L10" s="149"/>
    </row>
    <row r="11" spans="1:17" ht="15.6" customHeight="1" x14ac:dyDescent="0.25">
      <c r="A11" s="106"/>
      <c r="B11" s="93"/>
      <c r="C11" s="69"/>
      <c r="D11" s="55"/>
      <c r="E11" s="60"/>
      <c r="F11" s="60"/>
      <c r="G11" s="97"/>
      <c r="H11" s="96"/>
      <c r="I11" s="62"/>
      <c r="J11" s="81" t="s">
        <v>37</v>
      </c>
      <c r="K11" s="148" t="s">
        <v>43</v>
      </c>
      <c r="L11" s="149"/>
      <c r="M11" s="57"/>
      <c r="N11" s="57"/>
      <c r="O11" s="57"/>
      <c r="P11" s="57"/>
      <c r="Q11" s="57"/>
    </row>
    <row r="12" spans="1:17" ht="15.75" x14ac:dyDescent="0.25">
      <c r="A12" s="106"/>
      <c r="B12" s="93"/>
      <c r="C12" s="69"/>
      <c r="D12" s="55"/>
      <c r="E12" s="60"/>
      <c r="F12" s="60"/>
      <c r="G12" s="97"/>
      <c r="H12" s="96"/>
      <c r="I12" s="62"/>
      <c r="J12" s="88" t="s">
        <v>38</v>
      </c>
      <c r="K12" s="148" t="s">
        <v>44</v>
      </c>
      <c r="L12" s="149"/>
      <c r="M12" s="57"/>
      <c r="N12" s="57"/>
      <c r="O12" s="57"/>
      <c r="P12" s="57"/>
      <c r="Q12" s="57"/>
    </row>
    <row r="13" spans="1:17" ht="16.5" thickBot="1" x14ac:dyDescent="0.3">
      <c r="A13" s="106"/>
      <c r="B13" s="93"/>
      <c r="C13" s="69"/>
      <c r="D13" s="55"/>
      <c r="E13" s="60"/>
      <c r="F13" s="60"/>
      <c r="G13" s="97"/>
      <c r="H13" s="96"/>
      <c r="I13" s="62"/>
      <c r="J13" s="89" t="s">
        <v>46</v>
      </c>
      <c r="K13" s="150" t="s">
        <v>45</v>
      </c>
      <c r="L13" s="151"/>
      <c r="M13" s="57"/>
      <c r="N13" s="57"/>
      <c r="O13" s="57"/>
      <c r="P13" s="57"/>
      <c r="Q13" s="57"/>
    </row>
    <row r="14" spans="1:17" ht="15.75" x14ac:dyDescent="0.25">
      <c r="A14" s="106"/>
      <c r="B14" s="93"/>
      <c r="C14" s="69"/>
      <c r="D14" s="55"/>
      <c r="E14" s="60"/>
      <c r="F14" s="60"/>
      <c r="G14" s="97"/>
      <c r="H14" s="96"/>
      <c r="I14" s="62"/>
      <c r="J14" s="57"/>
      <c r="K14" s="57"/>
      <c r="L14" s="57"/>
      <c r="M14" s="57"/>
      <c r="N14" s="57"/>
      <c r="O14" s="57"/>
      <c r="P14" s="57"/>
      <c r="Q14" s="57"/>
    </row>
    <row r="15" spans="1:17" ht="15.75" x14ac:dyDescent="0.25">
      <c r="A15" s="106"/>
      <c r="B15" s="93"/>
      <c r="C15" s="69"/>
      <c r="D15" s="55"/>
      <c r="E15" s="60"/>
      <c r="F15" s="60"/>
      <c r="G15" s="97"/>
      <c r="H15" s="96"/>
    </row>
    <row r="16" spans="1:17" ht="15.75" x14ac:dyDescent="0.25">
      <c r="A16" s="106"/>
      <c r="B16" s="93"/>
      <c r="C16" s="69"/>
      <c r="D16" s="55"/>
      <c r="E16" s="60"/>
      <c r="F16" s="60"/>
      <c r="G16" s="97"/>
      <c r="H16" s="96"/>
    </row>
    <row r="17" spans="1:17" ht="15.75" x14ac:dyDescent="0.25">
      <c r="A17" s="106"/>
      <c r="B17" s="93"/>
      <c r="C17" s="69"/>
      <c r="D17" s="55"/>
      <c r="E17" s="60"/>
      <c r="F17" s="60"/>
      <c r="G17" s="98"/>
      <c r="H17" s="107"/>
    </row>
    <row r="18" spans="1:17" ht="15.75" x14ac:dyDescent="0.25">
      <c r="A18" s="106"/>
      <c r="B18" s="93"/>
      <c r="C18" s="69"/>
      <c r="D18" s="55"/>
      <c r="E18" s="60"/>
      <c r="F18" s="60"/>
      <c r="G18" s="97"/>
      <c r="H18" s="104"/>
    </row>
    <row r="19" spans="1:17" ht="15.75" x14ac:dyDescent="0.25">
      <c r="A19" s="106"/>
      <c r="B19" s="93"/>
      <c r="C19" s="69"/>
      <c r="D19" s="55"/>
      <c r="E19" s="60"/>
      <c r="F19" s="60"/>
      <c r="G19" s="97"/>
      <c r="H19" s="104"/>
    </row>
    <row r="20" spans="1:17" ht="15.75" x14ac:dyDescent="0.25">
      <c r="A20" s="106"/>
      <c r="B20" s="93"/>
      <c r="C20" s="69"/>
      <c r="D20" s="55"/>
      <c r="E20" s="60"/>
      <c r="F20" s="77"/>
      <c r="G20" s="97"/>
      <c r="H20" s="104"/>
      <c r="I20" s="63"/>
      <c r="J20" s="58"/>
      <c r="K20" s="58"/>
      <c r="L20" s="58"/>
      <c r="M20" s="58"/>
      <c r="N20" s="58"/>
      <c r="O20" s="58"/>
      <c r="P20" s="58"/>
      <c r="Q20" s="58"/>
    </row>
    <row r="21" spans="1:17" ht="15.75" x14ac:dyDescent="0.25">
      <c r="A21" s="106"/>
      <c r="B21" s="93"/>
      <c r="C21" s="69"/>
      <c r="D21" s="55"/>
      <c r="E21" s="60"/>
      <c r="F21" s="77"/>
      <c r="G21" s="97"/>
      <c r="H21" s="104"/>
      <c r="I21" s="63"/>
      <c r="J21" s="58"/>
      <c r="K21" s="58"/>
      <c r="L21" s="58"/>
      <c r="M21" s="58"/>
      <c r="N21" s="58"/>
      <c r="O21" s="58"/>
      <c r="P21" s="58"/>
      <c r="Q21" s="58"/>
    </row>
    <row r="22" spans="1:17" ht="15.75" x14ac:dyDescent="0.25">
      <c r="A22" s="106"/>
      <c r="B22" s="93"/>
      <c r="C22" s="69"/>
      <c r="D22" s="55"/>
      <c r="E22" s="60"/>
      <c r="F22" s="77"/>
      <c r="G22" s="97"/>
      <c r="H22" s="104"/>
      <c r="I22" s="63"/>
      <c r="J22" s="58"/>
      <c r="K22" s="58"/>
      <c r="L22" s="58"/>
      <c r="M22" s="58"/>
      <c r="N22" s="58"/>
      <c r="O22" s="58"/>
      <c r="P22" s="58"/>
      <c r="Q22" s="58"/>
    </row>
    <row r="23" spans="1:17" ht="15.75" x14ac:dyDescent="0.25">
      <c r="A23" s="106"/>
      <c r="B23" s="93"/>
      <c r="C23" s="69"/>
      <c r="D23" s="55"/>
      <c r="E23" s="60"/>
      <c r="F23" s="77"/>
      <c r="G23" s="97"/>
      <c r="H23" s="104"/>
      <c r="I23" s="63"/>
      <c r="J23" s="58"/>
      <c r="K23" s="58"/>
      <c r="L23" s="58"/>
      <c r="M23" s="58"/>
      <c r="N23" s="58"/>
      <c r="O23" s="58"/>
      <c r="P23" s="58"/>
      <c r="Q23" s="58"/>
    </row>
    <row r="24" spans="1:17" ht="15.75" x14ac:dyDescent="0.25">
      <c r="A24" s="106"/>
      <c r="B24" s="93"/>
      <c r="C24" s="69"/>
      <c r="D24" s="55"/>
      <c r="E24" s="60"/>
      <c r="F24" s="60"/>
      <c r="G24" s="97"/>
      <c r="H24" s="104"/>
    </row>
    <row r="25" spans="1:17" ht="15.75" x14ac:dyDescent="0.25">
      <c r="A25" s="106"/>
      <c r="B25" s="96"/>
      <c r="C25" s="69"/>
      <c r="D25" s="55"/>
      <c r="E25" s="60"/>
      <c r="F25" s="60"/>
      <c r="G25" s="97"/>
      <c r="H25" s="104"/>
    </row>
    <row r="26" spans="1:17" ht="15.75" x14ac:dyDescent="0.25">
      <c r="A26" s="106"/>
      <c r="B26" s="93"/>
      <c r="C26" s="69"/>
      <c r="D26" s="55"/>
      <c r="E26" s="60"/>
      <c r="F26" s="60"/>
      <c r="G26" s="97"/>
      <c r="H26" s="104"/>
    </row>
    <row r="27" spans="1:17" ht="15.75" x14ac:dyDescent="0.25">
      <c r="A27" s="106"/>
      <c r="B27" s="93"/>
      <c r="C27" s="69"/>
      <c r="D27" s="55"/>
      <c r="E27" s="60"/>
      <c r="F27" s="60"/>
      <c r="G27" s="97"/>
      <c r="H27" s="104"/>
    </row>
    <row r="28" spans="1:17" ht="15.75" x14ac:dyDescent="0.25">
      <c r="A28" s="106"/>
      <c r="B28" s="93"/>
      <c r="C28" s="69"/>
      <c r="D28" s="55"/>
      <c r="E28" s="60"/>
      <c r="F28" s="60"/>
      <c r="G28" s="97"/>
      <c r="H28" s="104"/>
    </row>
    <row r="29" spans="1:17" ht="15.75" x14ac:dyDescent="0.25">
      <c r="A29" s="106"/>
      <c r="B29" s="93"/>
      <c r="C29" s="69"/>
      <c r="D29" s="55"/>
      <c r="E29" s="60"/>
      <c r="F29" s="60"/>
      <c r="G29" s="97"/>
      <c r="H29" s="104"/>
    </row>
    <row r="30" spans="1:17" ht="15.75" x14ac:dyDescent="0.25">
      <c r="A30" s="106"/>
      <c r="B30" s="93"/>
      <c r="C30" s="69"/>
      <c r="D30" s="55"/>
      <c r="E30" s="60"/>
      <c r="F30" s="60"/>
      <c r="G30" s="97"/>
      <c r="H30" s="104"/>
    </row>
    <row r="31" spans="1:17" ht="15.75" x14ac:dyDescent="0.25">
      <c r="A31" s="106"/>
      <c r="B31" s="93"/>
      <c r="C31" s="69"/>
      <c r="D31" s="55"/>
      <c r="E31" s="60"/>
      <c r="F31" s="60"/>
      <c r="G31" s="97"/>
      <c r="H31" s="104"/>
    </row>
    <row r="32" spans="1:17" ht="15.75" x14ac:dyDescent="0.25">
      <c r="A32" s="106"/>
      <c r="B32" s="93"/>
      <c r="C32" s="69"/>
      <c r="D32" s="55"/>
      <c r="E32" s="60"/>
      <c r="F32" s="60"/>
      <c r="G32" s="97"/>
      <c r="H32" s="104"/>
    </row>
    <row r="33" spans="1:8" ht="15.75" x14ac:dyDescent="0.25">
      <c r="A33" s="106"/>
      <c r="B33" s="93"/>
      <c r="C33" s="69"/>
      <c r="D33" s="55"/>
      <c r="E33" s="60"/>
      <c r="F33" s="60"/>
      <c r="G33" s="97"/>
      <c r="H33" s="104"/>
    </row>
    <row r="34" spans="1:8" ht="15.75" x14ac:dyDescent="0.25">
      <c r="A34" s="106"/>
      <c r="B34" s="96"/>
      <c r="C34" s="69"/>
      <c r="D34" s="55"/>
      <c r="E34" s="60"/>
      <c r="F34" s="60"/>
      <c r="G34" s="60"/>
      <c r="H34" s="70"/>
    </row>
    <row r="35" spans="1:8" ht="15.75" x14ac:dyDescent="0.25">
      <c r="A35" s="106"/>
      <c r="B35" s="96"/>
      <c r="C35" s="69"/>
      <c r="D35" s="55"/>
      <c r="E35" s="60"/>
      <c r="F35" s="60"/>
      <c r="G35" s="60"/>
      <c r="H35" s="70"/>
    </row>
    <row r="36" spans="1:8" ht="15.75" x14ac:dyDescent="0.25">
      <c r="A36" s="106"/>
      <c r="B36" s="96"/>
      <c r="C36" s="69" t="str">
        <f>IF(ISBLANK(B36), "", IF(0&gt;=(B36-'Nurse Grid Dashboard'!$B$2), "EXPIRED", IF(AND((B36-'Nurse Grid Dashboard'!$B$2)&gt;0, (B36-'Nurse Grid Dashboard'!$B$2)&lt;=90), "EXPIRES SOON", "GOOD STANDING")))</f>
        <v/>
      </c>
      <c r="D36" s="55"/>
      <c r="E36" s="60"/>
      <c r="F36" s="60"/>
      <c r="G36" s="60"/>
      <c r="H36" s="70"/>
    </row>
    <row r="37" spans="1:8" ht="15.75" x14ac:dyDescent="0.25">
      <c r="A37" s="106"/>
      <c r="B37" s="96"/>
      <c r="C37" s="69" t="str">
        <f>IF(ISBLANK(B37), "", IF(0&gt;=(B37-'Nurse Grid Dashboard'!$B$2), "EXPIRED", IF(AND((B37-'Nurse Grid Dashboard'!$B$2)&gt;0, (B37-'Nurse Grid Dashboard'!$B$2)&lt;=90), "EXPIRES SOON", "GOOD STANDING")))</f>
        <v/>
      </c>
      <c r="D37" s="55"/>
      <c r="E37" s="60"/>
      <c r="F37" s="60"/>
      <c r="G37" s="60"/>
      <c r="H37" s="70"/>
    </row>
    <row r="38" spans="1:8" ht="15.75" x14ac:dyDescent="0.25">
      <c r="A38" s="106"/>
      <c r="B38" s="54"/>
      <c r="C38" s="69" t="str">
        <f>IF(ISBLANK(B38), "", IF(0&gt;=(B38-'Nurse Grid Dashboard'!$B$2), "EXPIRED", IF(AND((B38-'Nurse Grid Dashboard'!$B$2)&gt;0, (B38-'Nurse Grid Dashboard'!$B$2)&lt;=90), "EXPIRES SOON", "GOOD STANDING")))</f>
        <v/>
      </c>
      <c r="D38" s="55"/>
      <c r="E38" s="60"/>
      <c r="F38" s="60"/>
      <c r="G38" s="60"/>
      <c r="H38" s="70"/>
    </row>
    <row r="39" spans="1:8" ht="15.75" x14ac:dyDescent="0.25">
      <c r="A39" s="71"/>
      <c r="B39" s="54"/>
      <c r="C39" s="69" t="str">
        <f>IF(ISBLANK(B39), "", IF(0&gt;=(B39-'Nurse Grid Dashboard'!$B$2), "EXPIRED", IF(AND((B39-'Nurse Grid Dashboard'!$B$2)&gt;0, (B39-'Nurse Grid Dashboard'!$B$2)&lt;=90), "EXPIRES SOON", "GOOD STANDING")))</f>
        <v/>
      </c>
      <c r="D39" s="55"/>
      <c r="E39" s="60"/>
      <c r="F39" s="60"/>
      <c r="G39" s="60"/>
      <c r="H39" s="70"/>
    </row>
    <row r="40" spans="1:8" ht="15.75" x14ac:dyDescent="0.25">
      <c r="A40" s="71"/>
      <c r="B40" s="54"/>
      <c r="C40" s="69" t="str">
        <f>IF(ISBLANK(B40), "", IF(0&gt;=(B40-'Nurse Grid Dashboard'!$B$2), "EXPIRED", IF(AND((B40-'Nurse Grid Dashboard'!$B$2)&gt;0, (B40-'Nurse Grid Dashboard'!$B$2)&lt;=90), "EXPIRES SOON", "GOOD STANDING")))</f>
        <v/>
      </c>
      <c r="D40" s="55"/>
      <c r="E40" s="60"/>
      <c r="F40" s="60"/>
      <c r="G40" s="60"/>
      <c r="H40" s="70"/>
    </row>
    <row r="41" spans="1:8" ht="15.75" x14ac:dyDescent="0.25">
      <c r="A41" s="71"/>
      <c r="B41" s="54"/>
      <c r="C41" s="69" t="str">
        <f>IF(ISBLANK(B41), "", IF(0&gt;=(B41-'Nurse Grid Dashboard'!$B$2), "EXPIRED", IF(AND((B41-'Nurse Grid Dashboard'!$B$2)&gt;0, (B41-'Nurse Grid Dashboard'!$B$2)&lt;=90), "EXPIRES SOON", "GOOD STANDING")))</f>
        <v/>
      </c>
      <c r="D41" s="55"/>
      <c r="E41" s="60"/>
      <c r="F41" s="60"/>
      <c r="G41" s="60"/>
      <c r="H41" s="70"/>
    </row>
    <row r="42" spans="1:8" ht="15.75" x14ac:dyDescent="0.25">
      <c r="A42" s="71"/>
      <c r="B42" s="54"/>
      <c r="C42" s="69" t="str">
        <f>IF(ISBLANK(B42), "", IF(0&gt;=(B42-'Nurse Grid Dashboard'!$B$2), "EXPIRED", IF(AND((B42-'Nurse Grid Dashboard'!$B$2)&gt;0, (B42-'Nurse Grid Dashboard'!$B$2)&lt;=90), "EXPIRES SOON", "GOOD STANDING")))</f>
        <v/>
      </c>
      <c r="D42" s="55"/>
      <c r="E42" s="60"/>
      <c r="F42" s="60"/>
      <c r="G42" s="60"/>
      <c r="H42" s="70"/>
    </row>
    <row r="43" spans="1:8" ht="15.75" x14ac:dyDescent="0.25">
      <c r="A43" s="71"/>
      <c r="B43" s="54"/>
      <c r="C43" s="69" t="str">
        <f>IF(ISBLANK(B43), "", IF(0&gt;=(B43-'Nurse Grid Dashboard'!$B$2), "EXPIRED", IF(AND((B43-'Nurse Grid Dashboard'!$B$2)&gt;0, (B43-'Nurse Grid Dashboard'!$B$2)&lt;=90), "EXPIRES SOON", "GOOD STANDING")))</f>
        <v/>
      </c>
      <c r="D43" s="55"/>
      <c r="E43" s="60"/>
      <c r="F43" s="60"/>
      <c r="G43" s="60"/>
      <c r="H43" s="70"/>
    </row>
    <row r="44" spans="1:8" ht="15.75" x14ac:dyDescent="0.25">
      <c r="A44" s="71"/>
      <c r="B44" s="54"/>
      <c r="C44" s="69" t="str">
        <f>IF(ISBLANK(B44), "", IF(0&gt;=(B44-'Nurse Grid Dashboard'!$B$2), "EXPIRED", IF(AND((B44-'Nurse Grid Dashboard'!$B$2)&gt;0, (B44-'Nurse Grid Dashboard'!$B$2)&lt;=90), "EXPIRES SOON", "GOOD STANDING")))</f>
        <v/>
      </c>
      <c r="D44" s="55"/>
      <c r="E44" s="60"/>
      <c r="F44" s="60"/>
      <c r="G44" s="60"/>
      <c r="H44" s="70"/>
    </row>
    <row r="45" spans="1:8" ht="15.75" x14ac:dyDescent="0.25">
      <c r="A45" s="71"/>
      <c r="B45" s="54"/>
      <c r="C45" s="69" t="str">
        <f>IF(ISBLANK(B45), "", IF(0&gt;=(B45-'Nurse Grid Dashboard'!$B$2), "EXPIRED", IF(AND((B45-'Nurse Grid Dashboard'!$B$2)&gt;0, (B45-'Nurse Grid Dashboard'!$B$2)&lt;=90), "EXPIRES SOON", "GOOD STANDING")))</f>
        <v/>
      </c>
      <c r="D45" s="55"/>
      <c r="E45" s="60"/>
      <c r="F45" s="60"/>
      <c r="G45" s="60"/>
      <c r="H45" s="70"/>
    </row>
    <row r="46" spans="1:8" ht="15.75" x14ac:dyDescent="0.25">
      <c r="A46" s="71"/>
      <c r="B46" s="54"/>
      <c r="C46" s="69" t="str">
        <f>IF(ISBLANK(B46), "", IF(0&gt;=(B46-'Nurse Grid Dashboard'!$B$2), "EXPIRED", IF(AND((B46-'Nurse Grid Dashboard'!$B$2)&gt;0, (B46-'Nurse Grid Dashboard'!$B$2)&lt;=90), "EXPIRES SOON", "GOOD STANDING")))</f>
        <v/>
      </c>
      <c r="D46" s="55"/>
      <c r="E46" s="60"/>
      <c r="F46" s="60"/>
      <c r="G46" s="60"/>
      <c r="H46" s="70"/>
    </row>
    <row r="47" spans="1:8" ht="15.75" x14ac:dyDescent="0.25">
      <c r="A47" s="71"/>
      <c r="B47" s="54"/>
      <c r="C47" s="69" t="str">
        <f>IF(ISBLANK(B47), "", IF(0&gt;=(B47-'Nurse Grid Dashboard'!$B$2), "EXPIRED", IF(AND((B47-'Nurse Grid Dashboard'!$B$2)&gt;0, (B47-'Nurse Grid Dashboard'!$B$2)&lt;=90), "EXPIRES SOON", "GOOD STANDING")))</f>
        <v/>
      </c>
      <c r="D47" s="55"/>
      <c r="E47" s="60"/>
      <c r="F47" s="60"/>
      <c r="G47" s="60"/>
      <c r="H47" s="70"/>
    </row>
    <row r="48" spans="1:8" ht="15.75" x14ac:dyDescent="0.25">
      <c r="A48" s="71"/>
      <c r="B48" s="54"/>
      <c r="C48" s="69" t="str">
        <f>IF(ISBLANK(B48), "", IF(0&gt;=(B48-'Nurse Grid Dashboard'!$B$2), "EXPIRED", IF(AND((B48-'Nurse Grid Dashboard'!$B$2)&gt;0, (B48-'Nurse Grid Dashboard'!$B$2)&lt;=90), "EXPIRES SOON", "GOOD STANDING")))</f>
        <v/>
      </c>
      <c r="D48" s="55"/>
      <c r="E48" s="60"/>
      <c r="F48" s="60"/>
      <c r="G48" s="60"/>
      <c r="H48" s="70"/>
    </row>
    <row r="49" spans="1:8" ht="15.75" x14ac:dyDescent="0.25">
      <c r="A49" s="71"/>
      <c r="B49" s="54"/>
      <c r="C49" s="69" t="str">
        <f>IF(ISBLANK(B49), "", IF(0&gt;=(B49-'Nurse Grid Dashboard'!$B$2), "EXPIRED", IF(AND((B49-'Nurse Grid Dashboard'!$B$2)&gt;0, (B49-'Nurse Grid Dashboard'!$B$2)&lt;=90), "EXPIRES SOON", "GOOD STANDING")))</f>
        <v/>
      </c>
      <c r="D49" s="55"/>
      <c r="E49" s="60"/>
      <c r="F49" s="60"/>
      <c r="G49" s="60"/>
      <c r="H49" s="70"/>
    </row>
    <row r="50" spans="1:8" ht="15.75" x14ac:dyDescent="0.25">
      <c r="A50" s="71"/>
      <c r="B50" s="54"/>
      <c r="C50" s="69" t="str">
        <f>IF(ISBLANK(B50), "", IF(0&gt;=(B50-'Nurse Grid Dashboard'!$B$2), "EXPIRED", IF(AND((B50-'Nurse Grid Dashboard'!$B$2)&gt;0, (B50-'Nurse Grid Dashboard'!$B$2)&lt;=90), "EXPIRES SOON", "GOOD STANDING")))</f>
        <v/>
      </c>
      <c r="D50" s="55"/>
      <c r="E50" s="60"/>
      <c r="F50" s="60"/>
      <c r="G50" s="60"/>
      <c r="H50" s="70"/>
    </row>
    <row r="51" spans="1:8" ht="15.75" x14ac:dyDescent="0.25">
      <c r="A51" s="71"/>
      <c r="B51" s="54"/>
      <c r="C51" s="69" t="str">
        <f>IF(ISBLANK(B51), "", IF(0&gt;=(B51-'Nurse Grid Dashboard'!$B$2), "EXPIRED", IF(AND((B51-'Nurse Grid Dashboard'!$B$2)&gt;0, (B51-'Nurse Grid Dashboard'!$B$2)&lt;=90), "EXPIRES SOON", "GOOD STANDING")))</f>
        <v/>
      </c>
      <c r="D51" s="55"/>
      <c r="E51" s="60"/>
      <c r="F51" s="60"/>
      <c r="G51" s="60"/>
      <c r="H51" s="70"/>
    </row>
    <row r="52" spans="1:8" ht="15.75" x14ac:dyDescent="0.25">
      <c r="A52" s="71"/>
      <c r="B52" s="54"/>
      <c r="C52" s="69" t="str">
        <f>IF(ISBLANK(B52), "", IF(0&gt;=(B52-'Nurse Grid Dashboard'!$B$2), "EXPIRED", IF(AND((B52-'Nurse Grid Dashboard'!$B$2)&gt;0, (B52-'Nurse Grid Dashboard'!$B$2)&lt;=90), "EXPIRES SOON", "GOOD STANDING")))</f>
        <v/>
      </c>
      <c r="D52" s="55"/>
      <c r="E52" s="60"/>
      <c r="F52" s="60"/>
      <c r="G52" s="60"/>
      <c r="H52" s="70"/>
    </row>
    <row r="53" spans="1:8" ht="15.75" x14ac:dyDescent="0.25">
      <c r="A53" s="71"/>
      <c r="B53" s="54"/>
      <c r="C53" s="69" t="str">
        <f>IF(ISBLANK(B53), "", IF(0&gt;=(B53-'Nurse Grid Dashboard'!$B$2), "EXPIRED", IF(AND((B53-'Nurse Grid Dashboard'!$B$2)&gt;0, (B53-'Nurse Grid Dashboard'!$B$2)&lt;=90), "EXPIRES SOON", "GOOD STANDING")))</f>
        <v/>
      </c>
      <c r="D53" s="55"/>
      <c r="E53" s="60"/>
      <c r="F53" s="60"/>
      <c r="G53" s="60"/>
      <c r="H53" s="70"/>
    </row>
    <row r="54" spans="1:8" ht="15.75" x14ac:dyDescent="0.25">
      <c r="A54" s="71"/>
      <c r="B54" s="54"/>
      <c r="C54" s="69" t="str">
        <f>IF(ISBLANK(B54), "", IF(0&gt;=(B54-'Nurse Grid Dashboard'!$B$2), "EXPIRED", IF(AND((B54-'Nurse Grid Dashboard'!$B$2)&gt;0, (B54-'Nurse Grid Dashboard'!$B$2)&lt;=90), "EXPIRES SOON", "GOOD STANDING")))</f>
        <v/>
      </c>
      <c r="D54" s="55"/>
      <c r="E54" s="60"/>
      <c r="F54" s="60"/>
      <c r="G54" s="60"/>
      <c r="H54" s="70"/>
    </row>
    <row r="55" spans="1:8" ht="15.75" x14ac:dyDescent="0.25">
      <c r="A55" s="71"/>
      <c r="B55" s="54"/>
      <c r="C55" s="69" t="str">
        <f>IF(ISBLANK(B55), "", IF(0&gt;=(B55-'Nurse Grid Dashboard'!$B$2), "EXPIRED", IF(AND((B55-'Nurse Grid Dashboard'!$B$2)&gt;0, (B55-'Nurse Grid Dashboard'!$B$2)&lt;=90), "EXPIRES SOON", "GOOD STANDING")))</f>
        <v/>
      </c>
      <c r="D55" s="55"/>
      <c r="E55" s="60"/>
      <c r="F55" s="60"/>
      <c r="G55" s="60"/>
      <c r="H55" s="70"/>
    </row>
    <row r="56" spans="1:8" ht="15.75" x14ac:dyDescent="0.25">
      <c r="A56" s="71"/>
      <c r="B56" s="54"/>
      <c r="C56" s="69" t="str">
        <f>IF(ISBLANK(B56), "", IF(0&gt;=(B56-'Nurse Grid Dashboard'!$B$2), "EXPIRED", IF(AND((B56-'Nurse Grid Dashboard'!$B$2)&gt;0, (B56-'Nurse Grid Dashboard'!$B$2)&lt;=90), "EXPIRES SOON", "GOOD STANDING")))</f>
        <v/>
      </c>
      <c r="D56" s="55"/>
      <c r="E56" s="60"/>
      <c r="F56" s="60"/>
      <c r="G56" s="60"/>
      <c r="H56" s="70"/>
    </row>
    <row r="57" spans="1:8" ht="16.5" thickBot="1" x14ac:dyDescent="0.3">
      <c r="A57" s="72"/>
      <c r="B57" s="73"/>
      <c r="C57" s="78" t="str">
        <f>IF(ISBLANK(B57), "", IF(0&gt;=(B57-'Nurse Grid Dashboard'!$B$2), "EXPIRED", IF(AND((B57-'Nurse Grid Dashboard'!$B$2)&gt;0, (B57-'Nurse Grid Dashboard'!$B$2)&lt;=90), "EXPIRES SOON", "GOOD STANDING")))</f>
        <v/>
      </c>
      <c r="D57" s="74"/>
      <c r="E57" s="75"/>
      <c r="F57" s="75"/>
      <c r="G57" s="75"/>
      <c r="H57" s="76"/>
    </row>
  </sheetData>
  <mergeCells count="14">
    <mergeCell ref="K13:L13"/>
    <mergeCell ref="H1:H2"/>
    <mergeCell ref="K7:L7"/>
    <mergeCell ref="K8:L8"/>
    <mergeCell ref="K9:L9"/>
    <mergeCell ref="K10:L10"/>
    <mergeCell ref="K11:L11"/>
    <mergeCell ref="K12:L12"/>
    <mergeCell ref="K6:L6"/>
    <mergeCell ref="B1:C1"/>
    <mergeCell ref="D1:F1"/>
    <mergeCell ref="G1:G2"/>
    <mergeCell ref="J1:L1"/>
    <mergeCell ref="J5:L5"/>
  </mergeCells>
  <conditionalFormatting sqref="C3:C57">
    <cfRule type="containsText" dxfId="71" priority="1" operator="containsText" text="EXPIRED">
      <formula>NOT(ISERROR(SEARCH("EXPIRED",C3)))</formula>
    </cfRule>
    <cfRule type="containsText" dxfId="70" priority="2" operator="containsText" text="GOOD STANDING">
      <formula>NOT(ISERROR(SEARCH("GOOD STANDING",C3)))</formula>
    </cfRule>
    <cfRule type="containsText" dxfId="69" priority="3" operator="containsText" text="EXPIRED">
      <formula>NOT(ISERROR(SEARCH("EXPIRED",C3)))</formula>
    </cfRule>
    <cfRule type="containsText" dxfId="68" priority="4" operator="containsText" text="EXPIRED">
      <formula>NOT(ISERROR(SEARCH("EXPIRED",C3)))</formula>
    </cfRule>
    <cfRule type="containsText" dxfId="67" priority="5" operator="containsText" text="EXPIRED">
      <formula>NOT(ISERROR(SEARCH("EXPIRED",C3)))</formula>
    </cfRule>
    <cfRule type="containsText" dxfId="66" priority="6" operator="containsText" text="EXPIRES SOON">
      <formula>NOT(ISERROR(SEARCH("EXPIRES SOON",C3)))</formula>
    </cfRule>
    <cfRule type="containsText" dxfId="65" priority="7" operator="containsText" text="GOOD STANDING">
      <formula>NOT(ISERROR(SEARCH("GOOD STANDING",C3)))</formula>
    </cfRule>
    <cfRule type="containsText" dxfId="64" priority="12" operator="containsText" text="EXPIRES SOON">
      <formula>NOT(ISERROR(SEARCH("EXPIRES SOON",C3)))</formula>
    </cfRule>
  </conditionalFormatting>
  <conditionalFormatting sqref="C14">
    <cfRule type="containsText" dxfId="63" priority="8" operator="containsText" text="GOOD STANDING">
      <formula>NOT(ISERROR(SEARCH("GOOD STANDING",C14)))</formula>
    </cfRule>
    <cfRule type="containsText" dxfId="62" priority="9" operator="containsText" text="GOOD$C$14">
      <formula>NOT(ISERROR(SEARCH("GOOD$C$14",C14)))</formula>
    </cfRule>
    <cfRule type="containsText" dxfId="61" priority="10" operator="containsText" text="GOOD$14:$14 STANDING">
      <formula>NOT(ISERROR(SEARCH("GOOD$14:$14 STANDING",C14)))</formula>
    </cfRule>
    <cfRule type="cellIs" dxfId="60" priority="11" operator="equal">
      <formula>"'GOOD STANDING"</formula>
    </cfRule>
  </conditionalFormatting>
  <hyperlinks>
    <hyperlink ref="K6" r:id="rId1" display="davidpeterkramer@outlook.com" xr:uid="{37FD3CD8-5314-4746-9DF2-6606AD945DE3}"/>
    <hyperlink ref="K7" r:id="rId2" display="rileyanne1@ec.rr.com" xr:uid="{560C7C9C-EB68-4AB0-8D21-A78635C934CF}"/>
  </hyperlinks>
  <pageMargins left="0.7" right="0.7" top="0.75" bottom="0.75" header="0.3" footer="0.3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63DF2-F376-447C-9D5F-A7B7ABDAFE24}">
  <sheetPr codeName="Sheet10"/>
  <dimension ref="A1:Q57"/>
  <sheetViews>
    <sheetView zoomScaleNormal="100" workbookViewId="0">
      <selection activeCell="K7" sqref="K7:L7"/>
    </sheetView>
  </sheetViews>
  <sheetFormatPr defaultRowHeight="15" x14ac:dyDescent="0.25"/>
  <cols>
    <col min="1" max="1" width="28.28515625" customWidth="1"/>
    <col min="2" max="2" width="17.28515625" customWidth="1"/>
    <col min="3" max="3" width="23.28515625" customWidth="1"/>
    <col min="4" max="5" width="8.7109375" style="53" customWidth="1"/>
    <col min="6" max="6" width="8.85546875" style="53" customWidth="1"/>
    <col min="7" max="8" width="33.5703125" style="53" customWidth="1"/>
    <col min="9" max="9" width="9.42578125" style="53" customWidth="1"/>
    <col min="10" max="10" width="16.28515625" bestFit="1" customWidth="1"/>
    <col min="11" max="11" width="17.140625" customWidth="1"/>
    <col min="12" max="12" width="17.7109375" customWidth="1"/>
  </cols>
  <sheetData>
    <row r="1" spans="1:17" ht="23.65" customHeight="1" thickBot="1" x14ac:dyDescent="0.35">
      <c r="A1" s="101" t="s">
        <v>11</v>
      </c>
      <c r="B1" s="167" t="s">
        <v>7</v>
      </c>
      <c r="C1" s="168"/>
      <c r="D1" s="161" t="s">
        <v>22</v>
      </c>
      <c r="E1" s="162"/>
      <c r="F1" s="163"/>
      <c r="G1" s="154" t="s">
        <v>33</v>
      </c>
      <c r="H1" s="154" t="s">
        <v>48</v>
      </c>
      <c r="J1" s="156" t="s">
        <v>26</v>
      </c>
      <c r="K1" s="157"/>
      <c r="L1" s="158"/>
    </row>
    <row r="2" spans="1:17" ht="19.5" thickBot="1" x14ac:dyDescent="0.35">
      <c r="A2" s="94" t="s">
        <v>4</v>
      </c>
      <c r="B2" s="65" t="s">
        <v>0</v>
      </c>
      <c r="C2" s="61" t="s">
        <v>5</v>
      </c>
      <c r="D2" s="66" t="s">
        <v>23</v>
      </c>
      <c r="E2" s="67" t="s">
        <v>24</v>
      </c>
      <c r="F2" s="68" t="s">
        <v>25</v>
      </c>
      <c r="G2" s="155"/>
      <c r="H2" s="155"/>
      <c r="J2" s="84" t="s">
        <v>27</v>
      </c>
      <c r="K2" s="87" t="s">
        <v>28</v>
      </c>
      <c r="L2" s="85" t="s">
        <v>29</v>
      </c>
    </row>
    <row r="3" spans="1:17" ht="16.5" thickBot="1" x14ac:dyDescent="0.3">
      <c r="A3" s="108" t="s">
        <v>51</v>
      </c>
      <c r="B3" s="93">
        <v>45046</v>
      </c>
      <c r="C3" s="69" t="str">
        <f ca="1">IF(ISBLANK(B3), "", IF(0&gt;=(B3-'Nurse Grid Dashboard'!$B$2), "EXPIRED", IF(AND((B3-'Nurse Grid Dashboard'!$B$2)&gt;0, (B3-'Nurse Grid Dashboard'!$B$2)&lt;=90), "EXPIRES SOON", "GOOD STANDING")))</f>
        <v>EXPIRED</v>
      </c>
      <c r="D3" s="56"/>
      <c r="E3" s="59"/>
      <c r="F3" s="60"/>
      <c r="G3" s="97"/>
      <c r="H3" s="116"/>
      <c r="J3" s="82">
        <f ca="1">COUNTIF(C3:C57, "*good standing*")</f>
        <v>0</v>
      </c>
      <c r="K3" s="86">
        <f ca="1">COUNTIF(C3:C57, "*expires soon*")</f>
        <v>0</v>
      </c>
      <c r="L3" s="83">
        <f ca="1">COUNTIF(C3:C57, "*expired*")</f>
        <v>1</v>
      </c>
    </row>
    <row r="4" spans="1:17" ht="16.5" thickBot="1" x14ac:dyDescent="0.3">
      <c r="A4" s="106"/>
      <c r="B4" s="93"/>
      <c r="C4" s="69"/>
      <c r="D4" s="55"/>
      <c r="E4" s="60"/>
      <c r="F4" s="60"/>
      <c r="G4" s="97"/>
      <c r="H4" s="117"/>
    </row>
    <row r="5" spans="1:17" ht="18.75" x14ac:dyDescent="0.3">
      <c r="A5" s="106"/>
      <c r="B5" s="93"/>
      <c r="C5" s="69"/>
      <c r="D5" s="55"/>
      <c r="E5" s="60"/>
      <c r="F5" s="60"/>
      <c r="G5" s="97"/>
      <c r="H5" s="117"/>
      <c r="J5" s="164" t="s">
        <v>30</v>
      </c>
      <c r="K5" s="165"/>
      <c r="L5" s="166"/>
    </row>
    <row r="6" spans="1:17" ht="15.75" x14ac:dyDescent="0.25">
      <c r="A6" s="106"/>
      <c r="B6" s="96"/>
      <c r="C6" s="69"/>
      <c r="D6" s="55"/>
      <c r="E6" s="60"/>
      <c r="F6" s="60"/>
      <c r="G6" s="97"/>
      <c r="H6" s="117"/>
      <c r="J6" s="81" t="s">
        <v>31</v>
      </c>
      <c r="K6" s="152" t="s">
        <v>34</v>
      </c>
      <c r="L6" s="153"/>
    </row>
    <row r="7" spans="1:17" ht="15.75" x14ac:dyDescent="0.25">
      <c r="A7" s="106"/>
      <c r="B7" s="96"/>
      <c r="C7" s="69"/>
      <c r="D7" s="55"/>
      <c r="E7" s="60"/>
      <c r="F7" s="60"/>
      <c r="G7" s="97"/>
      <c r="H7" s="117"/>
      <c r="J7" s="81" t="s">
        <v>32</v>
      </c>
      <c r="K7" s="152" t="s">
        <v>34</v>
      </c>
      <c r="L7" s="153"/>
    </row>
    <row r="8" spans="1:17" ht="15.75" x14ac:dyDescent="0.25">
      <c r="A8" s="106"/>
      <c r="B8" s="93"/>
      <c r="C8" s="69"/>
      <c r="D8" s="55"/>
      <c r="E8" s="60"/>
      <c r="F8" s="60"/>
      <c r="G8" s="97"/>
      <c r="H8" s="117"/>
      <c r="J8" s="81" t="s">
        <v>35</v>
      </c>
      <c r="K8" s="148" t="s">
        <v>40</v>
      </c>
      <c r="L8" s="149"/>
    </row>
    <row r="9" spans="1:17" ht="15.75" x14ac:dyDescent="0.25">
      <c r="A9" s="106"/>
      <c r="B9" s="93"/>
      <c r="C9" s="69"/>
      <c r="D9" s="55"/>
      <c r="E9" s="60"/>
      <c r="F9" s="60"/>
      <c r="G9" s="97"/>
      <c r="H9" s="117"/>
      <c r="J9" s="81" t="s">
        <v>36</v>
      </c>
      <c r="K9" s="148" t="s">
        <v>41</v>
      </c>
      <c r="L9" s="149"/>
    </row>
    <row r="10" spans="1:17" ht="15.75" x14ac:dyDescent="0.25">
      <c r="A10" s="106"/>
      <c r="B10" s="96"/>
      <c r="C10" s="69"/>
      <c r="D10" s="55"/>
      <c r="E10" s="60"/>
      <c r="F10" s="60"/>
      <c r="G10" s="97"/>
      <c r="H10" s="117"/>
      <c r="J10" s="81" t="s">
        <v>39</v>
      </c>
      <c r="K10" s="148" t="s">
        <v>42</v>
      </c>
      <c r="L10" s="149"/>
    </row>
    <row r="11" spans="1:17" ht="15.6" customHeight="1" x14ac:dyDescent="0.25">
      <c r="A11" s="106"/>
      <c r="B11" s="93"/>
      <c r="C11" s="69"/>
      <c r="D11" s="55"/>
      <c r="E11" s="60"/>
      <c r="F11" s="60"/>
      <c r="G11" s="97"/>
      <c r="H11" s="117"/>
      <c r="I11" s="62"/>
      <c r="J11" s="81" t="s">
        <v>37</v>
      </c>
      <c r="K11" s="148" t="s">
        <v>43</v>
      </c>
      <c r="L11" s="149"/>
      <c r="M11" s="57"/>
      <c r="N11" s="57"/>
      <c r="O11" s="57"/>
      <c r="P11" s="57"/>
      <c r="Q11" s="57"/>
    </row>
    <row r="12" spans="1:17" ht="15.75" x14ac:dyDescent="0.25">
      <c r="A12" s="106"/>
      <c r="B12" s="93"/>
      <c r="C12" s="69"/>
      <c r="D12" s="55"/>
      <c r="E12" s="60"/>
      <c r="F12" s="60"/>
      <c r="G12" s="97"/>
      <c r="H12" s="117"/>
      <c r="I12" s="62"/>
      <c r="J12" s="88" t="s">
        <v>38</v>
      </c>
      <c r="K12" s="148" t="s">
        <v>44</v>
      </c>
      <c r="L12" s="149"/>
      <c r="M12" s="57"/>
      <c r="N12" s="57"/>
      <c r="O12" s="57"/>
      <c r="P12" s="57"/>
      <c r="Q12" s="57"/>
    </row>
    <row r="13" spans="1:17" ht="16.5" thickBot="1" x14ac:dyDescent="0.3">
      <c r="A13" s="106"/>
      <c r="B13" s="93"/>
      <c r="C13" s="69"/>
      <c r="D13" s="55"/>
      <c r="E13" s="60"/>
      <c r="F13" s="60"/>
      <c r="G13" s="97"/>
      <c r="H13" s="117"/>
      <c r="I13" s="62"/>
      <c r="J13" s="89" t="s">
        <v>46</v>
      </c>
      <c r="K13" s="150" t="s">
        <v>45</v>
      </c>
      <c r="L13" s="151"/>
      <c r="M13" s="57"/>
      <c r="N13" s="57"/>
      <c r="O13" s="57"/>
      <c r="P13" s="57"/>
      <c r="Q13" s="57"/>
    </row>
    <row r="14" spans="1:17" ht="15.75" x14ac:dyDescent="0.25">
      <c r="A14" s="106"/>
      <c r="B14" s="93"/>
      <c r="C14" s="69"/>
      <c r="D14" s="55"/>
      <c r="E14" s="60"/>
      <c r="F14" s="60"/>
      <c r="G14" s="97"/>
      <c r="H14" s="117"/>
      <c r="I14" s="62"/>
      <c r="J14" s="57"/>
      <c r="K14" s="57"/>
      <c r="L14" s="57"/>
      <c r="M14" s="57"/>
      <c r="N14" s="57"/>
      <c r="O14" s="57"/>
      <c r="P14" s="57"/>
      <c r="Q14" s="57"/>
    </row>
    <row r="15" spans="1:17" ht="15.75" x14ac:dyDescent="0.25">
      <c r="A15" s="106"/>
      <c r="B15" s="93"/>
      <c r="C15" s="69"/>
      <c r="D15" s="55"/>
      <c r="E15" s="60"/>
      <c r="F15" s="60"/>
      <c r="G15" s="97"/>
      <c r="H15" s="117"/>
    </row>
    <row r="16" spans="1:17" ht="15.75" x14ac:dyDescent="0.25">
      <c r="A16" s="106"/>
      <c r="B16" s="93"/>
      <c r="C16" s="69"/>
      <c r="D16" s="55"/>
      <c r="E16" s="60"/>
      <c r="F16" s="60"/>
      <c r="G16" s="97"/>
      <c r="H16" s="117"/>
    </row>
    <row r="17" spans="1:17" ht="15.75" x14ac:dyDescent="0.25">
      <c r="A17" s="106"/>
      <c r="B17" s="93"/>
      <c r="C17" s="69"/>
      <c r="D17" s="55"/>
      <c r="E17" s="60"/>
      <c r="F17" s="60"/>
      <c r="G17" s="98"/>
      <c r="H17" s="117"/>
    </row>
    <row r="18" spans="1:17" ht="15.75" x14ac:dyDescent="0.25">
      <c r="A18" s="106"/>
      <c r="B18" s="96"/>
      <c r="C18" s="69"/>
      <c r="D18" s="55"/>
      <c r="E18" s="60"/>
      <c r="F18" s="60"/>
      <c r="G18" s="97"/>
      <c r="H18" s="117"/>
    </row>
    <row r="19" spans="1:17" ht="15.75" x14ac:dyDescent="0.25">
      <c r="A19" s="106"/>
      <c r="B19" s="93"/>
      <c r="C19" s="69"/>
      <c r="D19" s="55"/>
      <c r="E19" s="60"/>
      <c r="F19" s="60"/>
      <c r="G19" s="97"/>
      <c r="H19" s="117"/>
    </row>
    <row r="20" spans="1:17" ht="15.75" x14ac:dyDescent="0.25">
      <c r="A20" s="106"/>
      <c r="B20" s="93"/>
      <c r="C20" s="69"/>
      <c r="D20" s="55"/>
      <c r="E20" s="60"/>
      <c r="F20" s="77"/>
      <c r="G20" s="97"/>
      <c r="H20" s="117"/>
      <c r="I20" s="63"/>
      <c r="J20" s="58"/>
      <c r="K20" s="58"/>
      <c r="L20" s="58"/>
      <c r="M20" s="58"/>
      <c r="N20" s="58"/>
      <c r="O20" s="58"/>
      <c r="P20" s="58"/>
      <c r="Q20" s="58"/>
    </row>
    <row r="21" spans="1:17" ht="15.75" x14ac:dyDescent="0.25">
      <c r="A21" s="106"/>
      <c r="B21" s="93"/>
      <c r="C21" s="69"/>
      <c r="D21" s="55"/>
      <c r="E21" s="60"/>
      <c r="F21" s="77"/>
      <c r="G21" s="97"/>
      <c r="H21" s="117"/>
      <c r="I21" s="63"/>
      <c r="J21" s="58"/>
      <c r="K21" s="58"/>
      <c r="L21" s="58"/>
      <c r="M21" s="58"/>
      <c r="N21" s="58"/>
      <c r="O21" s="58"/>
      <c r="P21" s="58"/>
      <c r="Q21" s="58"/>
    </row>
    <row r="22" spans="1:17" ht="15.75" x14ac:dyDescent="0.25">
      <c r="A22" s="106"/>
      <c r="B22" s="93"/>
      <c r="C22" s="69"/>
      <c r="D22" s="55"/>
      <c r="E22" s="60"/>
      <c r="F22" s="77"/>
      <c r="G22" s="97"/>
      <c r="H22" s="117"/>
      <c r="I22" s="63"/>
      <c r="J22" s="58"/>
      <c r="K22" s="58"/>
      <c r="L22" s="58"/>
      <c r="M22" s="58"/>
      <c r="N22" s="58"/>
      <c r="O22" s="58"/>
      <c r="P22" s="58"/>
      <c r="Q22" s="58"/>
    </row>
    <row r="23" spans="1:17" ht="15.75" x14ac:dyDescent="0.25">
      <c r="A23" s="106"/>
      <c r="B23" s="93"/>
      <c r="C23" s="69"/>
      <c r="D23" s="55"/>
      <c r="E23" s="60"/>
      <c r="F23" s="77"/>
      <c r="G23" s="97"/>
      <c r="H23" s="117"/>
      <c r="I23" s="63"/>
      <c r="J23" s="58"/>
      <c r="K23" s="58"/>
      <c r="L23" s="58"/>
      <c r="M23" s="58"/>
      <c r="N23" s="58"/>
      <c r="O23" s="58"/>
      <c r="P23" s="58"/>
      <c r="Q23" s="58"/>
    </row>
    <row r="24" spans="1:17" ht="15.75" x14ac:dyDescent="0.25">
      <c r="A24" s="106"/>
      <c r="B24" s="93"/>
      <c r="C24" s="69"/>
      <c r="D24" s="55"/>
      <c r="E24" s="60"/>
      <c r="F24" s="60"/>
      <c r="G24" s="97"/>
      <c r="H24" s="117"/>
    </row>
    <row r="25" spans="1:17" ht="15.75" x14ac:dyDescent="0.25">
      <c r="A25" s="106"/>
      <c r="B25" s="96"/>
      <c r="C25" s="69"/>
      <c r="D25" s="55"/>
      <c r="E25" s="60"/>
      <c r="F25" s="60"/>
      <c r="G25" s="97"/>
      <c r="H25" s="117"/>
    </row>
    <row r="26" spans="1:17" ht="15.75" x14ac:dyDescent="0.25">
      <c r="A26" s="106"/>
      <c r="B26" s="93"/>
      <c r="C26" s="69"/>
      <c r="D26" s="55"/>
      <c r="E26" s="60"/>
      <c r="F26" s="60"/>
      <c r="G26" s="97"/>
      <c r="H26" s="117"/>
    </row>
    <row r="27" spans="1:17" ht="15.75" x14ac:dyDescent="0.25">
      <c r="A27" s="106"/>
      <c r="B27" s="93"/>
      <c r="C27" s="69"/>
      <c r="D27" s="55"/>
      <c r="E27" s="60"/>
      <c r="F27" s="60"/>
      <c r="G27" s="97"/>
      <c r="H27" s="117"/>
    </row>
    <row r="28" spans="1:17" ht="15.75" x14ac:dyDescent="0.25">
      <c r="A28" s="106"/>
      <c r="B28" s="93"/>
      <c r="C28" s="69"/>
      <c r="D28" s="55"/>
      <c r="E28" s="60"/>
      <c r="F28" s="60"/>
      <c r="G28" s="97"/>
      <c r="H28" s="117"/>
    </row>
    <row r="29" spans="1:17" ht="15.75" x14ac:dyDescent="0.25">
      <c r="A29" s="106"/>
      <c r="B29" s="93"/>
      <c r="C29" s="69"/>
      <c r="D29" s="55"/>
      <c r="E29" s="60"/>
      <c r="F29" s="60"/>
      <c r="G29" s="97"/>
      <c r="H29" s="117"/>
    </row>
    <row r="30" spans="1:17" ht="15.75" x14ac:dyDescent="0.25">
      <c r="A30" s="106"/>
      <c r="B30" s="93"/>
      <c r="C30" s="69"/>
      <c r="D30" s="55"/>
      <c r="E30" s="60"/>
      <c r="F30" s="60"/>
      <c r="G30" s="97"/>
      <c r="H30" s="117"/>
    </row>
    <row r="31" spans="1:17" ht="15.75" x14ac:dyDescent="0.25">
      <c r="A31" s="106"/>
      <c r="B31" s="93"/>
      <c r="C31" s="69"/>
      <c r="D31" s="55"/>
      <c r="E31" s="60"/>
      <c r="F31" s="60"/>
      <c r="G31" s="97"/>
      <c r="H31" s="117"/>
    </row>
    <row r="32" spans="1:17" ht="15.75" x14ac:dyDescent="0.25">
      <c r="A32" s="106"/>
      <c r="B32" s="93"/>
      <c r="C32" s="69"/>
      <c r="D32" s="55"/>
      <c r="E32" s="60"/>
      <c r="F32" s="60"/>
      <c r="G32" s="97"/>
      <c r="H32" s="117"/>
    </row>
    <row r="33" spans="1:8" ht="15.75" x14ac:dyDescent="0.25">
      <c r="A33" s="106"/>
      <c r="B33" s="93"/>
      <c r="C33" s="69"/>
      <c r="D33" s="55"/>
      <c r="E33" s="60"/>
      <c r="F33" s="60"/>
      <c r="G33" s="97"/>
      <c r="H33" s="117"/>
    </row>
    <row r="34" spans="1:8" ht="15.75" x14ac:dyDescent="0.25">
      <c r="A34" s="106"/>
      <c r="B34" s="96"/>
      <c r="C34" s="69"/>
      <c r="D34" s="55"/>
      <c r="E34" s="60"/>
      <c r="F34" s="60"/>
      <c r="G34" s="60"/>
      <c r="H34" s="117"/>
    </row>
    <row r="35" spans="1:8" ht="15.75" x14ac:dyDescent="0.25">
      <c r="A35" s="106"/>
      <c r="B35" s="96"/>
      <c r="C35" s="69"/>
      <c r="D35" s="55"/>
      <c r="E35" s="60"/>
      <c r="F35" s="60"/>
      <c r="G35" s="60"/>
      <c r="H35" s="117"/>
    </row>
    <row r="36" spans="1:8" ht="15.75" x14ac:dyDescent="0.25">
      <c r="A36" s="106"/>
      <c r="B36" s="96"/>
      <c r="C36" s="69"/>
      <c r="D36" s="55"/>
      <c r="E36" s="60"/>
      <c r="F36" s="60"/>
      <c r="G36" s="60"/>
      <c r="H36" s="117"/>
    </row>
    <row r="37" spans="1:8" ht="15.75" x14ac:dyDescent="0.25">
      <c r="A37" s="106"/>
      <c r="B37" s="96"/>
      <c r="C37" s="69"/>
      <c r="D37" s="55"/>
      <c r="E37" s="60"/>
      <c r="F37" s="60"/>
      <c r="G37" s="60"/>
      <c r="H37" s="117"/>
    </row>
    <row r="38" spans="1:8" ht="15.75" x14ac:dyDescent="0.25">
      <c r="A38" s="106"/>
      <c r="B38" s="54"/>
      <c r="C38" s="69"/>
      <c r="D38" s="55"/>
      <c r="E38" s="60"/>
      <c r="F38" s="60"/>
      <c r="G38" s="60"/>
      <c r="H38" s="117"/>
    </row>
    <row r="39" spans="1:8" ht="15.75" x14ac:dyDescent="0.25">
      <c r="A39" s="71"/>
      <c r="B39" s="54"/>
      <c r="C39" s="69" t="str">
        <f>IF(ISBLANK(B39), "", IF(0&gt;=(B39-'Nurse Grid Dashboard'!$B$2), "EXPIRED", IF(AND((B39-'Nurse Grid Dashboard'!$B$2)&gt;0, (B39-'Nurse Grid Dashboard'!$B$2)&lt;=90), "EXPIRES SOON", "GOOD STANDING")))</f>
        <v/>
      </c>
      <c r="D39" s="55"/>
      <c r="E39" s="60"/>
      <c r="F39" s="60"/>
      <c r="G39" s="60"/>
      <c r="H39" s="70"/>
    </row>
    <row r="40" spans="1:8" ht="15.75" x14ac:dyDescent="0.25">
      <c r="A40" s="71"/>
      <c r="B40" s="54"/>
      <c r="C40" s="69" t="str">
        <f>IF(ISBLANK(B40), "", IF(0&gt;=(B40-'Nurse Grid Dashboard'!$B$2), "EXPIRED", IF(AND((B40-'Nurse Grid Dashboard'!$B$2)&gt;0, (B40-'Nurse Grid Dashboard'!$B$2)&lt;=90), "EXPIRES SOON", "GOOD STANDING")))</f>
        <v/>
      </c>
      <c r="D40" s="55"/>
      <c r="E40" s="60"/>
      <c r="F40" s="60"/>
      <c r="G40" s="60"/>
      <c r="H40" s="70"/>
    </row>
    <row r="41" spans="1:8" ht="15.75" x14ac:dyDescent="0.25">
      <c r="A41" s="71"/>
      <c r="B41" s="54"/>
      <c r="C41" s="69" t="str">
        <f>IF(ISBLANK(B41), "", IF(0&gt;=(B41-'Nurse Grid Dashboard'!$B$2), "EXPIRED", IF(AND((B41-'Nurse Grid Dashboard'!$B$2)&gt;0, (B41-'Nurse Grid Dashboard'!$B$2)&lt;=90), "EXPIRES SOON", "GOOD STANDING")))</f>
        <v/>
      </c>
      <c r="D41" s="55"/>
      <c r="E41" s="60"/>
      <c r="F41" s="60"/>
      <c r="G41" s="60"/>
      <c r="H41" s="70"/>
    </row>
    <row r="42" spans="1:8" ht="15.75" x14ac:dyDescent="0.25">
      <c r="A42" s="71"/>
      <c r="B42" s="54"/>
      <c r="C42" s="69" t="str">
        <f>IF(ISBLANK(B42), "", IF(0&gt;=(B42-'Nurse Grid Dashboard'!$B$2), "EXPIRED", IF(AND((B42-'Nurse Grid Dashboard'!$B$2)&gt;0, (B42-'Nurse Grid Dashboard'!$B$2)&lt;=90), "EXPIRES SOON", "GOOD STANDING")))</f>
        <v/>
      </c>
      <c r="D42" s="55"/>
      <c r="E42" s="60"/>
      <c r="F42" s="60"/>
      <c r="G42" s="60"/>
      <c r="H42" s="70"/>
    </row>
    <row r="43" spans="1:8" ht="15.75" x14ac:dyDescent="0.25">
      <c r="A43" s="71"/>
      <c r="B43" s="54"/>
      <c r="C43" s="69" t="str">
        <f>IF(ISBLANK(B43), "", IF(0&gt;=(B43-'Nurse Grid Dashboard'!$B$2), "EXPIRED", IF(AND((B43-'Nurse Grid Dashboard'!$B$2)&gt;0, (B43-'Nurse Grid Dashboard'!$B$2)&lt;=90), "EXPIRES SOON", "GOOD STANDING")))</f>
        <v/>
      </c>
      <c r="D43" s="55"/>
      <c r="E43" s="60"/>
      <c r="F43" s="60"/>
      <c r="G43" s="60"/>
      <c r="H43" s="70"/>
    </row>
    <row r="44" spans="1:8" ht="15.75" x14ac:dyDescent="0.25">
      <c r="A44" s="71"/>
      <c r="B44" s="54"/>
      <c r="C44" s="69" t="str">
        <f>IF(ISBLANK(B44), "", IF(0&gt;=(B44-'Nurse Grid Dashboard'!$B$2), "EXPIRED", IF(AND((B44-'Nurse Grid Dashboard'!$B$2)&gt;0, (B44-'Nurse Grid Dashboard'!$B$2)&lt;=90), "EXPIRES SOON", "GOOD STANDING")))</f>
        <v/>
      </c>
      <c r="D44" s="55"/>
      <c r="E44" s="60"/>
      <c r="F44" s="60"/>
      <c r="G44" s="60"/>
      <c r="H44" s="70"/>
    </row>
    <row r="45" spans="1:8" ht="15.75" x14ac:dyDescent="0.25">
      <c r="A45" s="71"/>
      <c r="B45" s="54"/>
      <c r="C45" s="69" t="str">
        <f>IF(ISBLANK(B45), "", IF(0&gt;=(B45-'Nurse Grid Dashboard'!$B$2), "EXPIRED", IF(AND((B45-'Nurse Grid Dashboard'!$B$2)&gt;0, (B45-'Nurse Grid Dashboard'!$B$2)&lt;=90), "EXPIRES SOON", "GOOD STANDING")))</f>
        <v/>
      </c>
      <c r="D45" s="55"/>
      <c r="E45" s="60"/>
      <c r="F45" s="60"/>
      <c r="G45" s="60"/>
      <c r="H45" s="70"/>
    </row>
    <row r="46" spans="1:8" ht="15.75" x14ac:dyDescent="0.25">
      <c r="A46" s="71"/>
      <c r="B46" s="54"/>
      <c r="C46" s="69" t="str">
        <f>IF(ISBLANK(B46), "", IF(0&gt;=(B46-'Nurse Grid Dashboard'!$B$2), "EXPIRED", IF(AND((B46-'Nurse Grid Dashboard'!$B$2)&gt;0, (B46-'Nurse Grid Dashboard'!$B$2)&lt;=90), "EXPIRES SOON", "GOOD STANDING")))</f>
        <v/>
      </c>
      <c r="D46" s="55"/>
      <c r="E46" s="60"/>
      <c r="F46" s="60"/>
      <c r="G46" s="60"/>
      <c r="H46" s="70"/>
    </row>
    <row r="47" spans="1:8" ht="15.75" x14ac:dyDescent="0.25">
      <c r="A47" s="71"/>
      <c r="B47" s="54"/>
      <c r="C47" s="69" t="str">
        <f>IF(ISBLANK(B47), "", IF(0&gt;=(B47-'Nurse Grid Dashboard'!$B$2), "EXPIRED", IF(AND((B47-'Nurse Grid Dashboard'!$B$2)&gt;0, (B47-'Nurse Grid Dashboard'!$B$2)&lt;=90), "EXPIRES SOON", "GOOD STANDING")))</f>
        <v/>
      </c>
      <c r="D47" s="55"/>
      <c r="E47" s="60"/>
      <c r="F47" s="60"/>
      <c r="G47" s="60"/>
      <c r="H47" s="70"/>
    </row>
    <row r="48" spans="1:8" ht="15.75" x14ac:dyDescent="0.25">
      <c r="A48" s="71"/>
      <c r="B48" s="54"/>
      <c r="C48" s="69" t="str">
        <f>IF(ISBLANK(B48), "", IF(0&gt;=(B48-'Nurse Grid Dashboard'!$B$2), "EXPIRED", IF(AND((B48-'Nurse Grid Dashboard'!$B$2)&gt;0, (B48-'Nurse Grid Dashboard'!$B$2)&lt;=90), "EXPIRES SOON", "GOOD STANDING")))</f>
        <v/>
      </c>
      <c r="D48" s="55"/>
      <c r="E48" s="60"/>
      <c r="F48" s="60"/>
      <c r="G48" s="60"/>
      <c r="H48" s="70"/>
    </row>
    <row r="49" spans="1:8" ht="15.75" x14ac:dyDescent="0.25">
      <c r="A49" s="71"/>
      <c r="B49" s="54"/>
      <c r="C49" s="69" t="str">
        <f>IF(ISBLANK(B49), "", IF(0&gt;=(B49-'Nurse Grid Dashboard'!$B$2), "EXPIRED", IF(AND((B49-'Nurse Grid Dashboard'!$B$2)&gt;0, (B49-'Nurse Grid Dashboard'!$B$2)&lt;=90), "EXPIRES SOON", "GOOD STANDING")))</f>
        <v/>
      </c>
      <c r="D49" s="55"/>
      <c r="E49" s="60"/>
      <c r="F49" s="60"/>
      <c r="G49" s="60"/>
      <c r="H49" s="70"/>
    </row>
    <row r="50" spans="1:8" ht="15.75" x14ac:dyDescent="0.25">
      <c r="A50" s="71"/>
      <c r="B50" s="54"/>
      <c r="C50" s="69" t="str">
        <f>IF(ISBLANK(B50), "", IF(0&gt;=(B50-'Nurse Grid Dashboard'!$B$2), "EXPIRED", IF(AND((B50-'Nurse Grid Dashboard'!$B$2)&gt;0, (B50-'Nurse Grid Dashboard'!$B$2)&lt;=90), "EXPIRES SOON", "GOOD STANDING")))</f>
        <v/>
      </c>
      <c r="D50" s="55"/>
      <c r="E50" s="60"/>
      <c r="F50" s="60"/>
      <c r="G50" s="60"/>
      <c r="H50" s="70"/>
    </row>
    <row r="51" spans="1:8" ht="15.75" x14ac:dyDescent="0.25">
      <c r="A51" s="71"/>
      <c r="B51" s="54"/>
      <c r="C51" s="69" t="str">
        <f>IF(ISBLANK(B51), "", IF(0&gt;=(B51-'Nurse Grid Dashboard'!$B$2), "EXPIRED", IF(AND((B51-'Nurse Grid Dashboard'!$B$2)&gt;0, (B51-'Nurse Grid Dashboard'!$B$2)&lt;=90), "EXPIRES SOON", "GOOD STANDING")))</f>
        <v/>
      </c>
      <c r="D51" s="55"/>
      <c r="E51" s="60"/>
      <c r="F51" s="60"/>
      <c r="G51" s="60"/>
      <c r="H51" s="70"/>
    </row>
    <row r="52" spans="1:8" ht="15.75" x14ac:dyDescent="0.25">
      <c r="A52" s="71"/>
      <c r="B52" s="54"/>
      <c r="C52" s="69" t="str">
        <f>IF(ISBLANK(B52), "", IF(0&gt;=(B52-'Nurse Grid Dashboard'!$B$2), "EXPIRED", IF(AND((B52-'Nurse Grid Dashboard'!$B$2)&gt;0, (B52-'Nurse Grid Dashboard'!$B$2)&lt;=90), "EXPIRES SOON", "GOOD STANDING")))</f>
        <v/>
      </c>
      <c r="D52" s="55"/>
      <c r="E52" s="60"/>
      <c r="F52" s="60"/>
      <c r="G52" s="60"/>
      <c r="H52" s="70"/>
    </row>
    <row r="53" spans="1:8" ht="15.75" x14ac:dyDescent="0.25">
      <c r="A53" s="71"/>
      <c r="B53" s="54"/>
      <c r="C53" s="69" t="str">
        <f>IF(ISBLANK(B53), "", IF(0&gt;=(B53-'Nurse Grid Dashboard'!$B$2), "EXPIRED", IF(AND((B53-'Nurse Grid Dashboard'!$B$2)&gt;0, (B53-'Nurse Grid Dashboard'!$B$2)&lt;=90), "EXPIRES SOON", "GOOD STANDING")))</f>
        <v/>
      </c>
      <c r="D53" s="55"/>
      <c r="E53" s="60"/>
      <c r="F53" s="60"/>
      <c r="G53" s="60"/>
      <c r="H53" s="70"/>
    </row>
    <row r="54" spans="1:8" ht="15.75" x14ac:dyDescent="0.25">
      <c r="A54" s="71"/>
      <c r="B54" s="54"/>
      <c r="C54" s="69" t="str">
        <f>IF(ISBLANK(B54), "", IF(0&gt;=(B54-'Nurse Grid Dashboard'!$B$2), "EXPIRED", IF(AND((B54-'Nurse Grid Dashboard'!$B$2)&gt;0, (B54-'Nurse Grid Dashboard'!$B$2)&lt;=90), "EXPIRES SOON", "GOOD STANDING")))</f>
        <v/>
      </c>
      <c r="D54" s="55"/>
      <c r="E54" s="60"/>
      <c r="F54" s="60"/>
      <c r="G54" s="60"/>
      <c r="H54" s="70"/>
    </row>
    <row r="55" spans="1:8" ht="15.75" x14ac:dyDescent="0.25">
      <c r="A55" s="71"/>
      <c r="B55" s="54"/>
      <c r="C55" s="69" t="str">
        <f>IF(ISBLANK(B55), "", IF(0&gt;=(B55-'Nurse Grid Dashboard'!$B$2), "EXPIRED", IF(AND((B55-'Nurse Grid Dashboard'!$B$2)&gt;0, (B55-'Nurse Grid Dashboard'!$B$2)&lt;=90), "EXPIRES SOON", "GOOD STANDING")))</f>
        <v/>
      </c>
      <c r="D55" s="55"/>
      <c r="E55" s="60"/>
      <c r="F55" s="60"/>
      <c r="G55" s="60"/>
      <c r="H55" s="70"/>
    </row>
    <row r="56" spans="1:8" ht="15.75" x14ac:dyDescent="0.25">
      <c r="A56" s="71"/>
      <c r="B56" s="54"/>
      <c r="C56" s="69" t="str">
        <f>IF(ISBLANK(B56), "", IF(0&gt;=(B56-'Nurse Grid Dashboard'!$B$2), "EXPIRED", IF(AND((B56-'Nurse Grid Dashboard'!$B$2)&gt;0, (B56-'Nurse Grid Dashboard'!$B$2)&lt;=90), "EXPIRES SOON", "GOOD STANDING")))</f>
        <v/>
      </c>
      <c r="D56" s="55"/>
      <c r="E56" s="60"/>
      <c r="F56" s="60"/>
      <c r="G56" s="60"/>
      <c r="H56" s="70"/>
    </row>
    <row r="57" spans="1:8" ht="16.5" thickBot="1" x14ac:dyDescent="0.3">
      <c r="A57" s="72"/>
      <c r="B57" s="73"/>
      <c r="C57" s="78" t="str">
        <f>IF(ISBLANK(B57), "", IF(0&gt;=(B57-'Nurse Grid Dashboard'!$B$2), "EXPIRED", IF(AND((B57-'Nurse Grid Dashboard'!$B$2)&gt;0, (B57-'Nurse Grid Dashboard'!$B$2)&lt;=90), "EXPIRES SOON", "GOOD STANDING")))</f>
        <v/>
      </c>
      <c r="D57" s="74"/>
      <c r="E57" s="75"/>
      <c r="F57" s="75"/>
      <c r="G57" s="75"/>
      <c r="H57" s="76"/>
    </row>
  </sheetData>
  <mergeCells count="14">
    <mergeCell ref="K13:L13"/>
    <mergeCell ref="H1:H2"/>
    <mergeCell ref="K7:L7"/>
    <mergeCell ref="K8:L8"/>
    <mergeCell ref="K9:L9"/>
    <mergeCell ref="K10:L10"/>
    <mergeCell ref="K11:L11"/>
    <mergeCell ref="K12:L12"/>
    <mergeCell ref="K6:L6"/>
    <mergeCell ref="B1:C1"/>
    <mergeCell ref="D1:F1"/>
    <mergeCell ref="G1:G2"/>
    <mergeCell ref="J1:L1"/>
    <mergeCell ref="J5:L5"/>
  </mergeCells>
  <conditionalFormatting sqref="C3:C57">
    <cfRule type="containsText" dxfId="59" priority="1" operator="containsText" text="EXPIRED">
      <formula>NOT(ISERROR(SEARCH("EXPIRED",C3)))</formula>
    </cfRule>
    <cfRule type="containsText" dxfId="58" priority="2" operator="containsText" text="GOOD STANDING">
      <formula>NOT(ISERROR(SEARCH("GOOD STANDING",C3)))</formula>
    </cfRule>
    <cfRule type="containsText" dxfId="57" priority="3" operator="containsText" text="EXPIRED">
      <formula>NOT(ISERROR(SEARCH("EXPIRED",C3)))</formula>
    </cfRule>
    <cfRule type="containsText" dxfId="56" priority="4" operator="containsText" text="EXPIRED">
      <formula>NOT(ISERROR(SEARCH("EXPIRED",C3)))</formula>
    </cfRule>
    <cfRule type="containsText" dxfId="55" priority="5" operator="containsText" text="EXPIRED">
      <formula>NOT(ISERROR(SEARCH("EXPIRED",C3)))</formula>
    </cfRule>
    <cfRule type="containsText" dxfId="54" priority="6" operator="containsText" text="EXPIRES SOON">
      <formula>NOT(ISERROR(SEARCH("EXPIRES SOON",C3)))</formula>
    </cfRule>
    <cfRule type="containsText" dxfId="53" priority="7" operator="containsText" text="GOOD STANDING">
      <formula>NOT(ISERROR(SEARCH("GOOD STANDING",C3)))</formula>
    </cfRule>
    <cfRule type="containsText" dxfId="52" priority="12" operator="containsText" text="EXPIRES SOON">
      <formula>NOT(ISERROR(SEARCH("EXPIRES SOON",C3)))</formula>
    </cfRule>
  </conditionalFormatting>
  <conditionalFormatting sqref="C14">
    <cfRule type="containsText" dxfId="51" priority="8" operator="containsText" text="GOOD STANDING">
      <formula>NOT(ISERROR(SEARCH("GOOD STANDING",C14)))</formula>
    </cfRule>
    <cfRule type="containsText" dxfId="50" priority="9" operator="containsText" text="GOOD$C$14">
      <formula>NOT(ISERROR(SEARCH("GOOD$C$14",C14)))</formula>
    </cfRule>
    <cfRule type="containsText" dxfId="49" priority="10" operator="containsText" text="GOOD$14:$14 STANDING">
      <formula>NOT(ISERROR(SEARCH("GOOD$14:$14 STANDING",C14)))</formula>
    </cfRule>
    <cfRule type="cellIs" dxfId="48" priority="11" operator="equal">
      <formula>"'GOOD STANDING"</formula>
    </cfRule>
  </conditionalFormatting>
  <hyperlinks>
    <hyperlink ref="K6" r:id="rId1" display="davidpeterkramer@outlook.com" xr:uid="{28846881-FA10-4D53-A63C-C9E9BDCF1819}"/>
    <hyperlink ref="K7" r:id="rId2" display="rileyanne1@ec.rr.com" xr:uid="{83DC432E-D568-4D19-BFDB-F9CC61857C37}"/>
  </hyperlinks>
  <pageMargins left="0.7" right="0.7" top="0.75" bottom="0.75" header="0.3" footer="0.3"/>
  <pageSetup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BD7A-DD99-4E7B-A360-4900D9AF7470}">
  <sheetPr codeName="Sheet11"/>
  <dimension ref="A1:Q57"/>
  <sheetViews>
    <sheetView zoomScaleNormal="100" workbookViewId="0">
      <selection activeCell="K7" sqref="K7:L7"/>
    </sheetView>
  </sheetViews>
  <sheetFormatPr defaultRowHeight="15" x14ac:dyDescent="0.25"/>
  <cols>
    <col min="1" max="1" width="28.28515625" customWidth="1"/>
    <col min="2" max="2" width="17.28515625" customWidth="1"/>
    <col min="3" max="3" width="23.28515625" customWidth="1"/>
    <col min="4" max="5" width="8.7109375" style="53" customWidth="1"/>
    <col min="6" max="6" width="8.85546875" style="53" customWidth="1"/>
    <col min="7" max="8" width="33.5703125" style="53" customWidth="1"/>
    <col min="9" max="9" width="9.42578125" style="53" customWidth="1"/>
    <col min="10" max="10" width="16.28515625" bestFit="1" customWidth="1"/>
    <col min="11" max="11" width="17.140625" customWidth="1"/>
    <col min="12" max="12" width="17.7109375" customWidth="1"/>
  </cols>
  <sheetData>
    <row r="1" spans="1:17" ht="23.65" customHeight="1" thickBot="1" x14ac:dyDescent="0.35">
      <c r="A1" s="101" t="s">
        <v>11</v>
      </c>
      <c r="B1" s="167" t="s">
        <v>7</v>
      </c>
      <c r="C1" s="168"/>
      <c r="D1" s="161" t="s">
        <v>22</v>
      </c>
      <c r="E1" s="162"/>
      <c r="F1" s="163"/>
      <c r="G1" s="154" t="s">
        <v>33</v>
      </c>
      <c r="H1" s="154" t="s">
        <v>48</v>
      </c>
      <c r="J1" s="156" t="s">
        <v>26</v>
      </c>
      <c r="K1" s="157"/>
      <c r="L1" s="158"/>
    </row>
    <row r="2" spans="1:17" ht="19.5" thickBot="1" x14ac:dyDescent="0.35">
      <c r="A2" s="94" t="s">
        <v>4</v>
      </c>
      <c r="B2" s="65" t="s">
        <v>0</v>
      </c>
      <c r="C2" s="61" t="s">
        <v>5</v>
      </c>
      <c r="D2" s="66" t="s">
        <v>23</v>
      </c>
      <c r="E2" s="67" t="s">
        <v>24</v>
      </c>
      <c r="F2" s="68" t="s">
        <v>25</v>
      </c>
      <c r="G2" s="155"/>
      <c r="H2" s="155"/>
      <c r="J2" s="84" t="s">
        <v>27</v>
      </c>
      <c r="K2" s="87" t="s">
        <v>28</v>
      </c>
      <c r="L2" s="85" t="s">
        <v>29</v>
      </c>
    </row>
    <row r="3" spans="1:17" ht="16.5" thickBot="1" x14ac:dyDescent="0.3">
      <c r="A3" s="108" t="s">
        <v>51</v>
      </c>
      <c r="B3" s="93">
        <v>45217</v>
      </c>
      <c r="C3" s="69" t="str">
        <f ca="1">IF(ISBLANK(B3), "", IF(0&gt;=(B3-'Nurse Grid Dashboard'!$B$2), "EXPIRED", IF(AND((B3-'Nurse Grid Dashboard'!$B$2)&gt;0, (B3-'Nurse Grid Dashboard'!$B$2)&lt;=90), "EXPIRES SOON", "GOOD STANDING")))</f>
        <v>EXPIRED</v>
      </c>
      <c r="D3" s="56"/>
      <c r="E3" s="59"/>
      <c r="F3" s="60"/>
      <c r="G3" s="97"/>
      <c r="H3" s="114"/>
      <c r="J3" s="82">
        <f ca="1">COUNTIF(C3:C57, "*good standing*")</f>
        <v>0</v>
      </c>
      <c r="K3" s="86">
        <f ca="1">COUNTIF(C3:C57, "*expires soon*")</f>
        <v>0</v>
      </c>
      <c r="L3" s="83">
        <f ca="1">COUNTIF(C3:C57, "*expired*")</f>
        <v>1</v>
      </c>
    </row>
    <row r="4" spans="1:17" ht="16.5" thickBot="1" x14ac:dyDescent="0.3">
      <c r="A4" s="106"/>
      <c r="B4" s="93"/>
      <c r="C4" s="69"/>
      <c r="D4" s="55"/>
      <c r="E4" s="60"/>
      <c r="F4" s="60"/>
      <c r="G4" s="97"/>
      <c r="H4" s="115"/>
    </row>
    <row r="5" spans="1:17" ht="18.75" x14ac:dyDescent="0.3">
      <c r="A5" s="106"/>
      <c r="B5" s="93"/>
      <c r="C5" s="69"/>
      <c r="D5" s="55"/>
      <c r="E5" s="60"/>
      <c r="F5" s="60"/>
      <c r="G5" s="97"/>
      <c r="H5" s="115"/>
      <c r="J5" s="164" t="s">
        <v>30</v>
      </c>
      <c r="K5" s="165"/>
      <c r="L5" s="166"/>
    </row>
    <row r="6" spans="1:17" ht="15.75" x14ac:dyDescent="0.25">
      <c r="A6" s="106"/>
      <c r="B6" s="96"/>
      <c r="C6" s="69"/>
      <c r="D6" s="55"/>
      <c r="E6" s="60"/>
      <c r="F6" s="60"/>
      <c r="G6" s="97"/>
      <c r="H6" s="115"/>
      <c r="J6" s="81" t="s">
        <v>31</v>
      </c>
      <c r="K6" s="152" t="s">
        <v>34</v>
      </c>
      <c r="L6" s="153"/>
    </row>
    <row r="7" spans="1:17" ht="15.75" x14ac:dyDescent="0.25">
      <c r="A7" s="106"/>
      <c r="B7" s="96"/>
      <c r="C7" s="69"/>
      <c r="D7" s="55"/>
      <c r="E7" s="60"/>
      <c r="F7" s="60"/>
      <c r="G7" s="97"/>
      <c r="H7" s="115"/>
      <c r="J7" s="81" t="s">
        <v>32</v>
      </c>
      <c r="K7" s="152" t="s">
        <v>34</v>
      </c>
      <c r="L7" s="153"/>
    </row>
    <row r="8" spans="1:17" ht="15.75" x14ac:dyDescent="0.25">
      <c r="A8" s="106"/>
      <c r="B8" s="93"/>
      <c r="C8" s="69"/>
      <c r="D8" s="55"/>
      <c r="E8" s="60"/>
      <c r="F8" s="60"/>
      <c r="G8" s="97"/>
      <c r="H8" s="115"/>
      <c r="J8" s="81" t="s">
        <v>35</v>
      </c>
      <c r="K8" s="148" t="s">
        <v>40</v>
      </c>
      <c r="L8" s="149"/>
    </row>
    <row r="9" spans="1:17" ht="15.75" x14ac:dyDescent="0.25">
      <c r="A9" s="106"/>
      <c r="B9" s="93"/>
      <c r="C9" s="69"/>
      <c r="D9" s="55"/>
      <c r="E9" s="60"/>
      <c r="F9" s="60"/>
      <c r="G9" s="97"/>
      <c r="H9" s="115"/>
      <c r="J9" s="81" t="s">
        <v>36</v>
      </c>
      <c r="K9" s="148" t="s">
        <v>41</v>
      </c>
      <c r="L9" s="149"/>
    </row>
    <row r="10" spans="1:17" ht="15.75" x14ac:dyDescent="0.25">
      <c r="A10" s="106"/>
      <c r="B10" s="96"/>
      <c r="C10" s="69"/>
      <c r="D10" s="55"/>
      <c r="E10" s="60"/>
      <c r="F10" s="60"/>
      <c r="G10" s="97"/>
      <c r="H10" s="115"/>
      <c r="J10" s="81" t="s">
        <v>39</v>
      </c>
      <c r="K10" s="148" t="s">
        <v>42</v>
      </c>
      <c r="L10" s="149"/>
    </row>
    <row r="11" spans="1:17" ht="15.6" customHeight="1" x14ac:dyDescent="0.25">
      <c r="A11" s="106"/>
      <c r="B11" s="93"/>
      <c r="C11" s="69"/>
      <c r="D11" s="55"/>
      <c r="E11" s="60"/>
      <c r="F11" s="60"/>
      <c r="G11" s="97"/>
      <c r="H11" s="115"/>
      <c r="I11" s="62"/>
      <c r="J11" s="81" t="s">
        <v>37</v>
      </c>
      <c r="K11" s="148" t="s">
        <v>43</v>
      </c>
      <c r="L11" s="149"/>
      <c r="M11" s="57"/>
      <c r="N11" s="57"/>
      <c r="O11" s="57"/>
      <c r="P11" s="57"/>
      <c r="Q11" s="57"/>
    </row>
    <row r="12" spans="1:17" ht="15.75" x14ac:dyDescent="0.25">
      <c r="A12" s="106"/>
      <c r="B12" s="93"/>
      <c r="C12" s="69"/>
      <c r="D12" s="55"/>
      <c r="E12" s="60"/>
      <c r="F12" s="60"/>
      <c r="G12" s="97"/>
      <c r="H12" s="115"/>
      <c r="I12" s="62"/>
      <c r="J12" s="88" t="s">
        <v>38</v>
      </c>
      <c r="K12" s="148" t="s">
        <v>44</v>
      </c>
      <c r="L12" s="149"/>
      <c r="M12" s="57"/>
      <c r="N12" s="57"/>
      <c r="O12" s="57"/>
      <c r="P12" s="57"/>
      <c r="Q12" s="57"/>
    </row>
    <row r="13" spans="1:17" ht="16.5" thickBot="1" x14ac:dyDescent="0.3">
      <c r="A13" s="106"/>
      <c r="B13" s="93"/>
      <c r="C13" s="69"/>
      <c r="D13" s="55"/>
      <c r="E13" s="60"/>
      <c r="F13" s="60"/>
      <c r="G13" s="97"/>
      <c r="H13" s="115"/>
      <c r="I13" s="62"/>
      <c r="J13" s="89" t="s">
        <v>46</v>
      </c>
      <c r="K13" s="150" t="s">
        <v>45</v>
      </c>
      <c r="L13" s="151"/>
      <c r="M13" s="57"/>
      <c r="N13" s="57"/>
      <c r="O13" s="57"/>
      <c r="P13" s="57"/>
      <c r="Q13" s="57"/>
    </row>
    <row r="14" spans="1:17" ht="15.75" x14ac:dyDescent="0.25">
      <c r="A14" s="106"/>
      <c r="B14" s="93"/>
      <c r="C14" s="69"/>
      <c r="D14" s="55"/>
      <c r="E14" s="60"/>
      <c r="F14" s="60"/>
      <c r="G14" s="97"/>
      <c r="H14" s="115"/>
      <c r="I14" s="62"/>
      <c r="J14" s="57"/>
      <c r="K14" s="57"/>
      <c r="L14" s="57"/>
      <c r="M14" s="57"/>
      <c r="N14" s="57"/>
      <c r="O14" s="57"/>
      <c r="P14" s="57"/>
      <c r="Q14" s="57"/>
    </row>
    <row r="15" spans="1:17" ht="15.75" x14ac:dyDescent="0.25">
      <c r="A15" s="106"/>
      <c r="B15" s="93"/>
      <c r="C15" s="69"/>
      <c r="D15" s="55"/>
      <c r="E15" s="60"/>
      <c r="F15" s="60"/>
      <c r="G15" s="97"/>
      <c r="H15" s="115"/>
    </row>
    <row r="16" spans="1:17" ht="15.75" x14ac:dyDescent="0.25">
      <c r="A16" s="106"/>
      <c r="B16" s="93"/>
      <c r="C16" s="69"/>
      <c r="D16" s="55"/>
      <c r="E16" s="60"/>
      <c r="F16" s="60"/>
      <c r="G16" s="97"/>
      <c r="H16" s="115"/>
    </row>
    <row r="17" spans="1:17" ht="15.75" x14ac:dyDescent="0.25">
      <c r="A17" s="106"/>
      <c r="B17" s="93"/>
      <c r="C17" s="69"/>
      <c r="D17" s="55"/>
      <c r="E17" s="60"/>
      <c r="F17" s="60"/>
      <c r="G17" s="98"/>
      <c r="H17" s="115"/>
    </row>
    <row r="18" spans="1:17" ht="15.75" x14ac:dyDescent="0.25">
      <c r="A18" s="106"/>
      <c r="B18" s="96"/>
      <c r="C18" s="69"/>
      <c r="D18" s="55"/>
      <c r="E18" s="60"/>
      <c r="F18" s="60"/>
      <c r="G18" s="97"/>
      <c r="H18" s="115"/>
    </row>
    <row r="19" spans="1:17" ht="15.75" x14ac:dyDescent="0.25">
      <c r="A19" s="106"/>
      <c r="B19" s="93"/>
      <c r="C19" s="69"/>
      <c r="D19" s="55"/>
      <c r="E19" s="60"/>
      <c r="F19" s="60"/>
      <c r="G19" s="97"/>
      <c r="H19" s="115"/>
    </row>
    <row r="20" spans="1:17" ht="15.75" x14ac:dyDescent="0.25">
      <c r="A20" s="106"/>
      <c r="B20" s="93"/>
      <c r="C20" s="69"/>
      <c r="D20" s="55"/>
      <c r="E20" s="60"/>
      <c r="F20" s="77"/>
      <c r="G20" s="97"/>
      <c r="H20" s="115"/>
      <c r="I20" s="63"/>
      <c r="J20" s="58"/>
      <c r="K20" s="58"/>
      <c r="L20" s="58"/>
      <c r="M20" s="58"/>
      <c r="N20" s="58"/>
      <c r="O20" s="58"/>
      <c r="P20" s="58"/>
      <c r="Q20" s="58"/>
    </row>
    <row r="21" spans="1:17" ht="15.75" x14ac:dyDescent="0.25">
      <c r="A21" s="106"/>
      <c r="B21" s="93"/>
      <c r="C21" s="69"/>
      <c r="D21" s="55"/>
      <c r="E21" s="60"/>
      <c r="F21" s="77"/>
      <c r="G21" s="97"/>
      <c r="H21" s="115"/>
      <c r="I21" s="63"/>
      <c r="J21" s="58"/>
      <c r="K21" s="58"/>
      <c r="L21" s="58"/>
      <c r="M21" s="58"/>
      <c r="N21" s="58"/>
      <c r="O21" s="58"/>
      <c r="P21" s="58"/>
      <c r="Q21" s="58"/>
    </row>
    <row r="22" spans="1:17" ht="15.75" x14ac:dyDescent="0.25">
      <c r="A22" s="106"/>
      <c r="B22" s="93"/>
      <c r="C22" s="69"/>
      <c r="D22" s="55"/>
      <c r="E22" s="60"/>
      <c r="F22" s="77"/>
      <c r="G22" s="97"/>
      <c r="H22" s="115"/>
      <c r="I22" s="63"/>
      <c r="J22" s="58"/>
      <c r="K22" s="58"/>
      <c r="L22" s="58"/>
      <c r="M22" s="58"/>
      <c r="N22" s="58"/>
      <c r="O22" s="58"/>
      <c r="P22" s="58"/>
      <c r="Q22" s="58"/>
    </row>
    <row r="23" spans="1:17" ht="15.75" x14ac:dyDescent="0.25">
      <c r="A23" s="106"/>
      <c r="B23" s="93"/>
      <c r="C23" s="69"/>
      <c r="D23" s="55"/>
      <c r="E23" s="60"/>
      <c r="F23" s="77"/>
      <c r="G23" s="97"/>
      <c r="H23" s="115"/>
      <c r="I23" s="63"/>
      <c r="J23" s="58"/>
      <c r="K23" s="58"/>
      <c r="L23" s="58"/>
      <c r="M23" s="58"/>
      <c r="N23" s="58"/>
      <c r="O23" s="58"/>
      <c r="P23" s="58"/>
      <c r="Q23" s="58"/>
    </row>
    <row r="24" spans="1:17" ht="15.75" x14ac:dyDescent="0.25">
      <c r="A24" s="106"/>
      <c r="B24" s="93"/>
      <c r="C24" s="69"/>
      <c r="D24" s="55"/>
      <c r="E24" s="60"/>
      <c r="F24" s="60"/>
      <c r="G24" s="97"/>
      <c r="H24" s="115"/>
    </row>
    <row r="25" spans="1:17" ht="15.75" x14ac:dyDescent="0.25">
      <c r="A25" s="106"/>
      <c r="B25" s="96"/>
      <c r="C25" s="69"/>
      <c r="D25" s="55"/>
      <c r="E25" s="60"/>
      <c r="F25" s="60"/>
      <c r="G25" s="97"/>
      <c r="H25" s="115"/>
    </row>
    <row r="26" spans="1:17" ht="15.75" x14ac:dyDescent="0.25">
      <c r="A26" s="106"/>
      <c r="B26" s="93"/>
      <c r="C26" s="69"/>
      <c r="D26" s="55"/>
      <c r="E26" s="60"/>
      <c r="F26" s="60"/>
      <c r="G26" s="97"/>
      <c r="H26" s="115"/>
    </row>
    <row r="27" spans="1:17" ht="15.75" x14ac:dyDescent="0.25">
      <c r="A27" s="106"/>
      <c r="B27" s="96"/>
      <c r="C27" s="69"/>
      <c r="D27" s="55"/>
      <c r="E27" s="60"/>
      <c r="F27" s="60"/>
      <c r="G27" s="97"/>
      <c r="H27" s="115"/>
    </row>
    <row r="28" spans="1:17" ht="15.75" x14ac:dyDescent="0.25">
      <c r="A28" s="106"/>
      <c r="B28" s="93"/>
      <c r="C28" s="69"/>
      <c r="D28" s="55"/>
      <c r="E28" s="60"/>
      <c r="F28" s="60"/>
      <c r="G28" s="97"/>
      <c r="H28" s="115"/>
    </row>
    <row r="29" spans="1:17" ht="15.75" x14ac:dyDescent="0.25">
      <c r="A29" s="106"/>
      <c r="B29" s="96"/>
      <c r="C29" s="69"/>
      <c r="D29" s="55"/>
      <c r="E29" s="60"/>
      <c r="F29" s="60"/>
      <c r="G29" s="97"/>
      <c r="H29" s="115"/>
    </row>
    <row r="30" spans="1:17" ht="15.75" x14ac:dyDescent="0.25">
      <c r="A30" s="106"/>
      <c r="B30" s="93"/>
      <c r="C30" s="69"/>
      <c r="D30" s="55"/>
      <c r="E30" s="60"/>
      <c r="F30" s="60"/>
      <c r="G30" s="97"/>
      <c r="H30" s="115"/>
    </row>
    <row r="31" spans="1:17" ht="15.75" x14ac:dyDescent="0.25">
      <c r="A31" s="106"/>
      <c r="B31" s="93"/>
      <c r="C31" s="69"/>
      <c r="D31" s="55"/>
      <c r="E31" s="60"/>
      <c r="F31" s="60"/>
      <c r="G31" s="97"/>
      <c r="H31" s="115"/>
    </row>
    <row r="32" spans="1:17" ht="15.75" x14ac:dyDescent="0.25">
      <c r="A32" s="106"/>
      <c r="B32" s="93"/>
      <c r="C32" s="69"/>
      <c r="D32" s="55"/>
      <c r="E32" s="60"/>
      <c r="F32" s="60"/>
      <c r="G32" s="97"/>
      <c r="H32" s="115"/>
    </row>
    <row r="33" spans="1:8" ht="15.75" x14ac:dyDescent="0.25">
      <c r="A33" s="106"/>
      <c r="B33" s="93"/>
      <c r="C33" s="69"/>
      <c r="D33" s="55"/>
      <c r="E33" s="60"/>
      <c r="F33" s="60"/>
      <c r="G33" s="97"/>
      <c r="H33" s="115"/>
    </row>
    <row r="34" spans="1:8" ht="15.75" x14ac:dyDescent="0.25">
      <c r="A34" s="106"/>
      <c r="B34" s="96"/>
      <c r="C34" s="69"/>
      <c r="D34" s="55"/>
      <c r="E34" s="60"/>
      <c r="F34" s="60"/>
      <c r="G34" s="60"/>
      <c r="H34" s="115"/>
    </row>
    <row r="35" spans="1:8" ht="15.75" x14ac:dyDescent="0.25">
      <c r="A35" s="106"/>
      <c r="B35" s="96"/>
      <c r="C35" s="69" t="str">
        <f>IF(ISBLANK(B35), "", IF(0&gt;=(B35-'Nurse Grid Dashboard'!$B$2), "EXPIRED", IF(AND((B35-'Nurse Grid Dashboard'!$B$2)&gt;0, (B35-'Nurse Grid Dashboard'!$B$2)&lt;=90), "EXPIRES SOON", "GOOD STANDING")))</f>
        <v/>
      </c>
      <c r="D35" s="55"/>
      <c r="E35" s="60"/>
      <c r="F35" s="60"/>
      <c r="G35" s="60"/>
      <c r="H35" s="115"/>
    </row>
    <row r="36" spans="1:8" ht="15.75" x14ac:dyDescent="0.25">
      <c r="A36" s="106"/>
      <c r="B36" s="96"/>
      <c r="C36" s="69" t="str">
        <f>IF(ISBLANK(B36), "", IF(0&gt;=(B36-'Nurse Grid Dashboard'!$B$2), "EXPIRED", IF(AND((B36-'Nurse Grid Dashboard'!$B$2)&gt;0, (B36-'Nurse Grid Dashboard'!$B$2)&lt;=90), "EXPIRES SOON", "GOOD STANDING")))</f>
        <v/>
      </c>
      <c r="D36" s="55"/>
      <c r="E36" s="60"/>
      <c r="F36" s="60"/>
      <c r="G36" s="60"/>
      <c r="H36" s="115"/>
    </row>
    <row r="37" spans="1:8" ht="15.75" x14ac:dyDescent="0.25">
      <c r="A37" s="106"/>
      <c r="B37" s="96"/>
      <c r="C37" s="69" t="str">
        <f>IF(ISBLANK(B37), "", IF(0&gt;=(B37-'Nurse Grid Dashboard'!$B$2), "EXPIRED", IF(AND((B37-'Nurse Grid Dashboard'!$B$2)&gt;0, (B37-'Nurse Grid Dashboard'!$B$2)&lt;=90), "EXPIRES SOON", "GOOD STANDING")))</f>
        <v/>
      </c>
      <c r="D37" s="55"/>
      <c r="E37" s="60"/>
      <c r="F37" s="60"/>
      <c r="G37" s="60"/>
      <c r="H37" s="115"/>
    </row>
    <row r="38" spans="1:8" ht="15.75" x14ac:dyDescent="0.25">
      <c r="A38" s="106"/>
      <c r="B38" s="54"/>
      <c r="C38" s="69" t="str">
        <f>IF(ISBLANK(B38), "", IF(0&gt;=(B38-'Nurse Grid Dashboard'!$B$2), "EXPIRED", IF(AND((B38-'Nurse Grid Dashboard'!$B$2)&gt;0, (B38-'Nurse Grid Dashboard'!$B$2)&lt;=90), "EXPIRES SOON", "GOOD STANDING")))</f>
        <v/>
      </c>
      <c r="D38" s="55"/>
      <c r="E38" s="60"/>
      <c r="F38" s="60"/>
      <c r="G38" s="60"/>
      <c r="H38" s="115"/>
    </row>
    <row r="39" spans="1:8" ht="15.75" x14ac:dyDescent="0.25">
      <c r="A39" s="71"/>
      <c r="B39" s="54"/>
      <c r="C39" s="69" t="str">
        <f>IF(ISBLANK(B39), "", IF(0&gt;=(B39-'Nurse Grid Dashboard'!$B$2), "EXPIRED", IF(AND((B39-'Nurse Grid Dashboard'!$B$2)&gt;0, (B39-'Nurse Grid Dashboard'!$B$2)&lt;=90), "EXPIRES SOON", "GOOD STANDING")))</f>
        <v/>
      </c>
      <c r="D39" s="55"/>
      <c r="E39" s="60"/>
      <c r="F39" s="60"/>
      <c r="G39" s="60"/>
      <c r="H39" s="70"/>
    </row>
    <row r="40" spans="1:8" ht="15.75" x14ac:dyDescent="0.25">
      <c r="A40" s="71"/>
      <c r="B40" s="54"/>
      <c r="C40" s="69" t="str">
        <f>IF(ISBLANK(B40), "", IF(0&gt;=(B40-'Nurse Grid Dashboard'!$B$2), "EXPIRED", IF(AND((B40-'Nurse Grid Dashboard'!$B$2)&gt;0, (B40-'Nurse Grid Dashboard'!$B$2)&lt;=90), "EXPIRES SOON", "GOOD STANDING")))</f>
        <v/>
      </c>
      <c r="D40" s="55"/>
      <c r="E40" s="60"/>
      <c r="F40" s="60"/>
      <c r="G40" s="60"/>
      <c r="H40" s="70"/>
    </row>
    <row r="41" spans="1:8" ht="15.75" x14ac:dyDescent="0.25">
      <c r="A41" s="71"/>
      <c r="B41" s="54"/>
      <c r="C41" s="69" t="str">
        <f>IF(ISBLANK(B41), "", IF(0&gt;=(B41-'Nurse Grid Dashboard'!$B$2), "EXPIRED", IF(AND((B41-'Nurse Grid Dashboard'!$B$2)&gt;0, (B41-'Nurse Grid Dashboard'!$B$2)&lt;=90), "EXPIRES SOON", "GOOD STANDING")))</f>
        <v/>
      </c>
      <c r="D41" s="55"/>
      <c r="E41" s="60"/>
      <c r="F41" s="60"/>
      <c r="G41" s="60"/>
      <c r="H41" s="70"/>
    </row>
    <row r="42" spans="1:8" ht="15.75" x14ac:dyDescent="0.25">
      <c r="A42" s="71"/>
      <c r="B42" s="54"/>
      <c r="C42" s="69" t="str">
        <f>IF(ISBLANK(B42), "", IF(0&gt;=(B42-'Nurse Grid Dashboard'!$B$2), "EXPIRED", IF(AND((B42-'Nurse Grid Dashboard'!$B$2)&gt;0, (B42-'Nurse Grid Dashboard'!$B$2)&lt;=90), "EXPIRES SOON", "GOOD STANDING")))</f>
        <v/>
      </c>
      <c r="D42" s="55"/>
      <c r="E42" s="60"/>
      <c r="F42" s="60"/>
      <c r="G42" s="60"/>
      <c r="H42" s="70"/>
    </row>
    <row r="43" spans="1:8" ht="15.75" x14ac:dyDescent="0.25">
      <c r="A43" s="71"/>
      <c r="B43" s="54"/>
      <c r="C43" s="69" t="str">
        <f>IF(ISBLANK(B43), "", IF(0&gt;=(B43-'Nurse Grid Dashboard'!$B$2), "EXPIRED", IF(AND((B43-'Nurse Grid Dashboard'!$B$2)&gt;0, (B43-'Nurse Grid Dashboard'!$B$2)&lt;=90), "EXPIRES SOON", "GOOD STANDING")))</f>
        <v/>
      </c>
      <c r="D43" s="55"/>
      <c r="E43" s="60"/>
      <c r="F43" s="60"/>
      <c r="G43" s="60"/>
      <c r="H43" s="70"/>
    </row>
    <row r="44" spans="1:8" ht="15.75" x14ac:dyDescent="0.25">
      <c r="A44" s="71"/>
      <c r="B44" s="54"/>
      <c r="C44" s="69" t="str">
        <f>IF(ISBLANK(B44), "", IF(0&gt;=(B44-'Nurse Grid Dashboard'!$B$2), "EXPIRED", IF(AND((B44-'Nurse Grid Dashboard'!$B$2)&gt;0, (B44-'Nurse Grid Dashboard'!$B$2)&lt;=90), "EXPIRES SOON", "GOOD STANDING")))</f>
        <v/>
      </c>
      <c r="D44" s="55"/>
      <c r="E44" s="60"/>
      <c r="F44" s="60"/>
      <c r="G44" s="60"/>
      <c r="H44" s="70"/>
    </row>
    <row r="45" spans="1:8" ht="15.75" x14ac:dyDescent="0.25">
      <c r="A45" s="71"/>
      <c r="B45" s="54"/>
      <c r="C45" s="69" t="str">
        <f>IF(ISBLANK(B45), "", IF(0&gt;=(B45-'Nurse Grid Dashboard'!$B$2), "EXPIRED", IF(AND((B45-'Nurse Grid Dashboard'!$B$2)&gt;0, (B45-'Nurse Grid Dashboard'!$B$2)&lt;=90), "EXPIRES SOON", "GOOD STANDING")))</f>
        <v/>
      </c>
      <c r="D45" s="55"/>
      <c r="E45" s="60"/>
      <c r="F45" s="60"/>
      <c r="G45" s="60"/>
      <c r="H45" s="70"/>
    </row>
    <row r="46" spans="1:8" ht="15.75" x14ac:dyDescent="0.25">
      <c r="A46" s="71"/>
      <c r="B46" s="54"/>
      <c r="C46" s="69" t="str">
        <f>IF(ISBLANK(B46), "", IF(0&gt;=(B46-'Nurse Grid Dashboard'!$B$2), "EXPIRED", IF(AND((B46-'Nurse Grid Dashboard'!$B$2)&gt;0, (B46-'Nurse Grid Dashboard'!$B$2)&lt;=90), "EXPIRES SOON", "GOOD STANDING")))</f>
        <v/>
      </c>
      <c r="D46" s="55"/>
      <c r="E46" s="60"/>
      <c r="F46" s="60"/>
      <c r="G46" s="60"/>
      <c r="H46" s="70"/>
    </row>
    <row r="47" spans="1:8" ht="15.75" x14ac:dyDescent="0.25">
      <c r="A47" s="71"/>
      <c r="B47" s="54"/>
      <c r="C47" s="69" t="str">
        <f>IF(ISBLANK(B47), "", IF(0&gt;=(B47-'Nurse Grid Dashboard'!$B$2), "EXPIRED", IF(AND((B47-'Nurse Grid Dashboard'!$B$2)&gt;0, (B47-'Nurse Grid Dashboard'!$B$2)&lt;=90), "EXPIRES SOON", "GOOD STANDING")))</f>
        <v/>
      </c>
      <c r="D47" s="55"/>
      <c r="E47" s="60"/>
      <c r="F47" s="60"/>
      <c r="G47" s="60"/>
      <c r="H47" s="70"/>
    </row>
    <row r="48" spans="1:8" ht="15.75" x14ac:dyDescent="0.25">
      <c r="A48" s="71"/>
      <c r="B48" s="54"/>
      <c r="C48" s="69" t="str">
        <f>IF(ISBLANK(B48), "", IF(0&gt;=(B48-'Nurse Grid Dashboard'!$B$2), "EXPIRED", IF(AND((B48-'Nurse Grid Dashboard'!$B$2)&gt;0, (B48-'Nurse Grid Dashboard'!$B$2)&lt;=90), "EXPIRES SOON", "GOOD STANDING")))</f>
        <v/>
      </c>
      <c r="D48" s="55"/>
      <c r="E48" s="60"/>
      <c r="F48" s="60"/>
      <c r="G48" s="60"/>
      <c r="H48" s="70"/>
    </row>
    <row r="49" spans="1:8" ht="15.75" x14ac:dyDescent="0.25">
      <c r="A49" s="71"/>
      <c r="B49" s="54"/>
      <c r="C49" s="69" t="str">
        <f>IF(ISBLANK(B49), "", IF(0&gt;=(B49-'Nurse Grid Dashboard'!$B$2), "EXPIRED", IF(AND((B49-'Nurse Grid Dashboard'!$B$2)&gt;0, (B49-'Nurse Grid Dashboard'!$B$2)&lt;=90), "EXPIRES SOON", "GOOD STANDING")))</f>
        <v/>
      </c>
      <c r="D49" s="55"/>
      <c r="E49" s="60"/>
      <c r="F49" s="60"/>
      <c r="G49" s="60"/>
      <c r="H49" s="70"/>
    </row>
    <row r="50" spans="1:8" ht="15.75" x14ac:dyDescent="0.25">
      <c r="A50" s="71"/>
      <c r="B50" s="54"/>
      <c r="C50" s="69" t="str">
        <f>IF(ISBLANK(B50), "", IF(0&gt;=(B50-'Nurse Grid Dashboard'!$B$2), "EXPIRED", IF(AND((B50-'Nurse Grid Dashboard'!$B$2)&gt;0, (B50-'Nurse Grid Dashboard'!$B$2)&lt;=90), "EXPIRES SOON", "GOOD STANDING")))</f>
        <v/>
      </c>
      <c r="D50" s="55"/>
      <c r="E50" s="60"/>
      <c r="F50" s="60"/>
      <c r="G50" s="60"/>
      <c r="H50" s="70"/>
    </row>
    <row r="51" spans="1:8" ht="15.75" x14ac:dyDescent="0.25">
      <c r="A51" s="71"/>
      <c r="B51" s="54"/>
      <c r="C51" s="69" t="str">
        <f>IF(ISBLANK(B51), "", IF(0&gt;=(B51-'Nurse Grid Dashboard'!$B$2), "EXPIRED", IF(AND((B51-'Nurse Grid Dashboard'!$B$2)&gt;0, (B51-'Nurse Grid Dashboard'!$B$2)&lt;=90), "EXPIRES SOON", "GOOD STANDING")))</f>
        <v/>
      </c>
      <c r="D51" s="55"/>
      <c r="E51" s="60"/>
      <c r="F51" s="60"/>
      <c r="G51" s="60"/>
      <c r="H51" s="70"/>
    </row>
    <row r="52" spans="1:8" ht="15.75" x14ac:dyDescent="0.25">
      <c r="A52" s="71"/>
      <c r="B52" s="54"/>
      <c r="C52" s="69" t="str">
        <f>IF(ISBLANK(B52), "", IF(0&gt;=(B52-'Nurse Grid Dashboard'!$B$2), "EXPIRED", IF(AND((B52-'Nurse Grid Dashboard'!$B$2)&gt;0, (B52-'Nurse Grid Dashboard'!$B$2)&lt;=90), "EXPIRES SOON", "GOOD STANDING")))</f>
        <v/>
      </c>
      <c r="D52" s="55"/>
      <c r="E52" s="60"/>
      <c r="F52" s="60"/>
      <c r="G52" s="60"/>
      <c r="H52" s="70"/>
    </row>
    <row r="53" spans="1:8" ht="15.75" x14ac:dyDescent="0.25">
      <c r="A53" s="71"/>
      <c r="B53" s="54"/>
      <c r="C53" s="69" t="str">
        <f>IF(ISBLANK(B53), "", IF(0&gt;=(B53-'Nurse Grid Dashboard'!$B$2), "EXPIRED", IF(AND((B53-'Nurse Grid Dashboard'!$B$2)&gt;0, (B53-'Nurse Grid Dashboard'!$B$2)&lt;=90), "EXPIRES SOON", "GOOD STANDING")))</f>
        <v/>
      </c>
      <c r="D53" s="55"/>
      <c r="E53" s="60"/>
      <c r="F53" s="60"/>
      <c r="G53" s="60"/>
      <c r="H53" s="70"/>
    </row>
    <row r="54" spans="1:8" ht="15.75" x14ac:dyDescent="0.25">
      <c r="A54" s="71"/>
      <c r="B54" s="54"/>
      <c r="C54" s="69" t="str">
        <f>IF(ISBLANK(B54), "", IF(0&gt;=(B54-'Nurse Grid Dashboard'!$B$2), "EXPIRED", IF(AND((B54-'Nurse Grid Dashboard'!$B$2)&gt;0, (B54-'Nurse Grid Dashboard'!$B$2)&lt;=90), "EXPIRES SOON", "GOOD STANDING")))</f>
        <v/>
      </c>
      <c r="D54" s="55"/>
      <c r="E54" s="60"/>
      <c r="F54" s="60"/>
      <c r="G54" s="60"/>
      <c r="H54" s="70"/>
    </row>
    <row r="55" spans="1:8" ht="15.75" x14ac:dyDescent="0.25">
      <c r="A55" s="71"/>
      <c r="B55" s="54"/>
      <c r="C55" s="69" t="str">
        <f>IF(ISBLANK(B55), "", IF(0&gt;=(B55-'Nurse Grid Dashboard'!$B$2), "EXPIRED", IF(AND((B55-'Nurse Grid Dashboard'!$B$2)&gt;0, (B55-'Nurse Grid Dashboard'!$B$2)&lt;=90), "EXPIRES SOON", "GOOD STANDING")))</f>
        <v/>
      </c>
      <c r="D55" s="55"/>
      <c r="E55" s="60"/>
      <c r="F55" s="60"/>
      <c r="G55" s="60"/>
      <c r="H55" s="70"/>
    </row>
    <row r="56" spans="1:8" ht="15.75" x14ac:dyDescent="0.25">
      <c r="A56" s="71"/>
      <c r="B56" s="54"/>
      <c r="C56" s="69" t="str">
        <f>IF(ISBLANK(B56), "", IF(0&gt;=(B56-'Nurse Grid Dashboard'!$B$2), "EXPIRED", IF(AND((B56-'Nurse Grid Dashboard'!$B$2)&gt;0, (B56-'Nurse Grid Dashboard'!$B$2)&lt;=90), "EXPIRES SOON", "GOOD STANDING")))</f>
        <v/>
      </c>
      <c r="D56" s="55"/>
      <c r="E56" s="60"/>
      <c r="F56" s="60"/>
      <c r="G56" s="60"/>
      <c r="H56" s="70"/>
    </row>
    <row r="57" spans="1:8" ht="16.5" thickBot="1" x14ac:dyDescent="0.3">
      <c r="A57" s="72"/>
      <c r="B57" s="73"/>
      <c r="C57" s="78" t="str">
        <f>IF(ISBLANK(B57), "", IF(0&gt;=(B57-'Nurse Grid Dashboard'!$B$2), "EXPIRED", IF(AND((B57-'Nurse Grid Dashboard'!$B$2)&gt;0, (B57-'Nurse Grid Dashboard'!$B$2)&lt;=90), "EXPIRES SOON", "GOOD STANDING")))</f>
        <v/>
      </c>
      <c r="D57" s="74"/>
      <c r="E57" s="75"/>
      <c r="F57" s="75"/>
      <c r="G57" s="75"/>
      <c r="H57" s="76"/>
    </row>
  </sheetData>
  <mergeCells count="14">
    <mergeCell ref="K13:L13"/>
    <mergeCell ref="H1:H2"/>
    <mergeCell ref="K7:L7"/>
    <mergeCell ref="K8:L8"/>
    <mergeCell ref="K9:L9"/>
    <mergeCell ref="K10:L10"/>
    <mergeCell ref="K11:L11"/>
    <mergeCell ref="K12:L12"/>
    <mergeCell ref="K6:L6"/>
    <mergeCell ref="B1:C1"/>
    <mergeCell ref="D1:F1"/>
    <mergeCell ref="G1:G2"/>
    <mergeCell ref="J1:L1"/>
    <mergeCell ref="J5:L5"/>
  </mergeCells>
  <conditionalFormatting sqref="C3:C57">
    <cfRule type="containsText" dxfId="47" priority="1" operator="containsText" text="EXPIRED">
      <formula>NOT(ISERROR(SEARCH("EXPIRED",C3)))</formula>
    </cfRule>
    <cfRule type="containsText" dxfId="46" priority="2" operator="containsText" text="GOOD STANDING">
      <formula>NOT(ISERROR(SEARCH("GOOD STANDING",C3)))</formula>
    </cfRule>
    <cfRule type="containsText" dxfId="45" priority="3" operator="containsText" text="EXPIRED">
      <formula>NOT(ISERROR(SEARCH("EXPIRED",C3)))</formula>
    </cfRule>
    <cfRule type="containsText" dxfId="44" priority="4" operator="containsText" text="EXPIRED">
      <formula>NOT(ISERROR(SEARCH("EXPIRED",C3)))</formula>
    </cfRule>
    <cfRule type="containsText" dxfId="43" priority="5" operator="containsText" text="EXPIRED">
      <formula>NOT(ISERROR(SEARCH("EXPIRED",C3)))</formula>
    </cfRule>
    <cfRule type="containsText" dxfId="42" priority="6" operator="containsText" text="EXPIRES SOON">
      <formula>NOT(ISERROR(SEARCH("EXPIRES SOON",C3)))</formula>
    </cfRule>
    <cfRule type="containsText" dxfId="41" priority="7" operator="containsText" text="GOOD STANDING">
      <formula>NOT(ISERROR(SEARCH("GOOD STANDING",C3)))</formula>
    </cfRule>
    <cfRule type="containsText" dxfId="40" priority="12" operator="containsText" text="EXPIRES SOON">
      <formula>NOT(ISERROR(SEARCH("EXPIRES SOON",C3)))</formula>
    </cfRule>
  </conditionalFormatting>
  <conditionalFormatting sqref="C14">
    <cfRule type="containsText" dxfId="39" priority="8" operator="containsText" text="GOOD STANDING">
      <formula>NOT(ISERROR(SEARCH("GOOD STANDING",C14)))</formula>
    </cfRule>
    <cfRule type="containsText" dxfId="38" priority="9" operator="containsText" text="GOOD$C$14">
      <formula>NOT(ISERROR(SEARCH("GOOD$C$14",C14)))</formula>
    </cfRule>
    <cfRule type="containsText" dxfId="37" priority="10" operator="containsText" text="GOOD$14:$14 STANDING">
      <formula>NOT(ISERROR(SEARCH("GOOD$14:$14 STANDING",C14)))</formula>
    </cfRule>
    <cfRule type="cellIs" dxfId="36" priority="11" operator="equal">
      <formula>"'GOOD STANDING"</formula>
    </cfRule>
  </conditionalFormatting>
  <hyperlinks>
    <hyperlink ref="K6" r:id="rId1" display="davidpeterkramer@outlook.com" xr:uid="{84E891B6-1B5F-4CEC-B890-3E90B8732DB3}"/>
    <hyperlink ref="K7" r:id="rId2" display="rileyanne1@ec.rr.com" xr:uid="{EB172384-A073-4B5A-88B0-C450466454F3}"/>
  </hyperlinks>
  <pageMargins left="0.7" right="0.7" top="0.75" bottom="0.75" header="0.3" footer="0.3"/>
  <pageSetup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DCDAD-9CF8-4FCB-8C60-71A6A8FD2FD3}">
  <sheetPr codeName="Sheet12"/>
  <dimension ref="A1:Q57"/>
  <sheetViews>
    <sheetView zoomScaleNormal="100" workbookViewId="0">
      <selection activeCell="K7" sqref="K7:L7"/>
    </sheetView>
  </sheetViews>
  <sheetFormatPr defaultRowHeight="15" x14ac:dyDescent="0.25"/>
  <cols>
    <col min="1" max="1" width="28.28515625" customWidth="1"/>
    <col min="2" max="2" width="17.28515625" customWidth="1"/>
    <col min="3" max="3" width="23.28515625" customWidth="1"/>
    <col min="4" max="5" width="8.7109375" style="53" customWidth="1"/>
    <col min="6" max="6" width="8.85546875" style="53" customWidth="1"/>
    <col min="7" max="7" width="33.5703125" style="53" customWidth="1"/>
    <col min="8" max="8" width="33.140625" style="53" customWidth="1"/>
    <col min="9" max="9" width="9.42578125" style="53" customWidth="1"/>
    <col min="10" max="10" width="16.28515625" bestFit="1" customWidth="1"/>
    <col min="11" max="11" width="17.140625" customWidth="1"/>
    <col min="12" max="12" width="17.7109375" customWidth="1"/>
  </cols>
  <sheetData>
    <row r="1" spans="1:17" ht="23.65" customHeight="1" thickBot="1" x14ac:dyDescent="0.35">
      <c r="A1" s="101" t="s">
        <v>11</v>
      </c>
      <c r="B1" s="167" t="s">
        <v>8</v>
      </c>
      <c r="C1" s="168"/>
      <c r="D1" s="161" t="s">
        <v>22</v>
      </c>
      <c r="E1" s="162"/>
      <c r="F1" s="163"/>
      <c r="G1" s="154" t="s">
        <v>33</v>
      </c>
      <c r="H1" s="154" t="s">
        <v>48</v>
      </c>
      <c r="J1" s="156" t="s">
        <v>26</v>
      </c>
      <c r="K1" s="157"/>
      <c r="L1" s="158"/>
    </row>
    <row r="2" spans="1:17" ht="19.5" thickBot="1" x14ac:dyDescent="0.35">
      <c r="A2" s="94" t="s">
        <v>4</v>
      </c>
      <c r="B2" s="65" t="s">
        <v>0</v>
      </c>
      <c r="C2" s="61" t="s">
        <v>5</v>
      </c>
      <c r="D2" s="66" t="s">
        <v>23</v>
      </c>
      <c r="E2" s="67" t="s">
        <v>24</v>
      </c>
      <c r="F2" s="68" t="s">
        <v>25</v>
      </c>
      <c r="G2" s="155"/>
      <c r="H2" s="155"/>
      <c r="J2" s="84" t="s">
        <v>27</v>
      </c>
      <c r="K2" s="87" t="s">
        <v>28</v>
      </c>
      <c r="L2" s="85" t="s">
        <v>29</v>
      </c>
    </row>
    <row r="3" spans="1:17" ht="16.5" thickBot="1" x14ac:dyDescent="0.3">
      <c r="A3" s="108" t="s">
        <v>51</v>
      </c>
      <c r="B3" s="93">
        <v>45564</v>
      </c>
      <c r="C3" s="69" t="str">
        <f ca="1">IF(ISBLANK(B3), "", IF(0&gt;=(B3-'Nurse Grid Dashboard'!$B$2), "EXPIRED", IF(AND((B3-'Nurse Grid Dashboard'!$B$2)&gt;0, (B3-'Nurse Grid Dashboard'!$B$2)&lt;=90), "EXPIRES SOON", "GOOD STANDING")))</f>
        <v>EXPIRED</v>
      </c>
      <c r="D3" s="56"/>
      <c r="E3" s="59"/>
      <c r="F3" s="60"/>
      <c r="G3" s="97"/>
      <c r="H3" s="110"/>
      <c r="J3" s="82">
        <f ca="1">COUNTIF(C3:C57, "*good standing*")</f>
        <v>0</v>
      </c>
      <c r="K3" s="86">
        <f ca="1">COUNTIF(C3:C57, "*expires soon*")</f>
        <v>0</v>
      </c>
      <c r="L3" s="83">
        <f ca="1">COUNTIF(C3:C57, "*expired*")</f>
        <v>1</v>
      </c>
    </row>
    <row r="4" spans="1:17" ht="16.5" thickBot="1" x14ac:dyDescent="0.3">
      <c r="A4" s="106"/>
      <c r="B4" s="93"/>
      <c r="C4" s="69"/>
      <c r="D4" s="55"/>
      <c r="E4" s="60"/>
      <c r="F4" s="60"/>
      <c r="G4" s="97"/>
      <c r="H4" s="111"/>
    </row>
    <row r="5" spans="1:17" ht="18.75" x14ac:dyDescent="0.3">
      <c r="A5" s="106"/>
      <c r="B5" s="93"/>
      <c r="C5" s="69"/>
      <c r="D5" s="55"/>
      <c r="E5" s="60"/>
      <c r="F5" s="60"/>
      <c r="G5" s="97"/>
      <c r="H5" s="111"/>
      <c r="J5" s="164" t="s">
        <v>30</v>
      </c>
      <c r="K5" s="165"/>
      <c r="L5" s="166"/>
    </row>
    <row r="6" spans="1:17" ht="15.75" x14ac:dyDescent="0.25">
      <c r="A6" s="106"/>
      <c r="B6" s="96"/>
      <c r="C6" s="69"/>
      <c r="D6" s="55"/>
      <c r="E6" s="60"/>
      <c r="F6" s="60"/>
      <c r="G6" s="97"/>
      <c r="H6" s="111"/>
      <c r="J6" s="81" t="s">
        <v>31</v>
      </c>
      <c r="K6" s="152" t="s">
        <v>34</v>
      </c>
      <c r="L6" s="153"/>
    </row>
    <row r="7" spans="1:17" ht="15.75" x14ac:dyDescent="0.25">
      <c r="A7" s="106"/>
      <c r="B7" s="96"/>
      <c r="C7" s="69"/>
      <c r="D7" s="55"/>
      <c r="E7" s="60"/>
      <c r="F7" s="60"/>
      <c r="G7" s="97"/>
      <c r="H7" s="111"/>
      <c r="J7" s="81" t="s">
        <v>32</v>
      </c>
      <c r="K7" s="152" t="s">
        <v>34</v>
      </c>
      <c r="L7" s="153"/>
    </row>
    <row r="8" spans="1:17" ht="15.75" x14ac:dyDescent="0.25">
      <c r="A8" s="106"/>
      <c r="B8" s="96"/>
      <c r="C8" s="69"/>
      <c r="D8" s="55"/>
      <c r="E8" s="60"/>
      <c r="F8" s="60"/>
      <c r="G8" s="97"/>
      <c r="H8" s="111"/>
      <c r="J8" s="81" t="s">
        <v>35</v>
      </c>
      <c r="K8" s="148" t="s">
        <v>40</v>
      </c>
      <c r="L8" s="149"/>
    </row>
    <row r="9" spans="1:17" ht="15.75" x14ac:dyDescent="0.25">
      <c r="A9" s="106"/>
      <c r="B9" s="93"/>
      <c r="C9" s="69"/>
      <c r="D9" s="55"/>
      <c r="E9" s="60"/>
      <c r="F9" s="60"/>
      <c r="G9" s="97"/>
      <c r="H9" s="111"/>
      <c r="J9" s="81" t="s">
        <v>36</v>
      </c>
      <c r="K9" s="148" t="s">
        <v>41</v>
      </c>
      <c r="L9" s="149"/>
    </row>
    <row r="10" spans="1:17" ht="15.75" x14ac:dyDescent="0.25">
      <c r="A10" s="106"/>
      <c r="B10" s="93"/>
      <c r="C10" s="69"/>
      <c r="D10" s="55"/>
      <c r="E10" s="60"/>
      <c r="F10" s="60"/>
      <c r="G10" s="97"/>
      <c r="H10" s="111"/>
      <c r="J10" s="81" t="s">
        <v>39</v>
      </c>
      <c r="K10" s="148" t="s">
        <v>42</v>
      </c>
      <c r="L10" s="149"/>
    </row>
    <row r="11" spans="1:17" ht="15.6" customHeight="1" x14ac:dyDescent="0.25">
      <c r="A11" s="106"/>
      <c r="B11" s="93"/>
      <c r="C11" s="69"/>
      <c r="D11" s="55"/>
      <c r="E11" s="60"/>
      <c r="F11" s="60"/>
      <c r="G11" s="97"/>
      <c r="H11" s="111"/>
      <c r="I11" s="62"/>
      <c r="J11" s="81" t="s">
        <v>37</v>
      </c>
      <c r="K11" s="148" t="s">
        <v>43</v>
      </c>
      <c r="L11" s="149"/>
      <c r="M11" s="57"/>
      <c r="N11" s="57"/>
      <c r="O11" s="57"/>
      <c r="P11" s="57"/>
      <c r="Q11" s="57"/>
    </row>
    <row r="12" spans="1:17" ht="15.75" x14ac:dyDescent="0.25">
      <c r="A12" s="106"/>
      <c r="B12" s="93"/>
      <c r="C12" s="69"/>
      <c r="D12" s="55"/>
      <c r="E12" s="60"/>
      <c r="F12" s="60"/>
      <c r="G12" s="97"/>
      <c r="H12" s="111"/>
      <c r="I12" s="62"/>
      <c r="J12" s="88" t="s">
        <v>38</v>
      </c>
      <c r="K12" s="148" t="s">
        <v>44</v>
      </c>
      <c r="L12" s="149"/>
      <c r="M12" s="57"/>
      <c r="N12" s="57"/>
      <c r="O12" s="57"/>
      <c r="P12" s="57"/>
      <c r="Q12" s="57"/>
    </row>
    <row r="13" spans="1:17" ht="16.5" thickBot="1" x14ac:dyDescent="0.3">
      <c r="A13" s="106"/>
      <c r="B13" s="93"/>
      <c r="C13" s="69"/>
      <c r="D13" s="55"/>
      <c r="E13" s="60"/>
      <c r="F13" s="60"/>
      <c r="G13" s="97"/>
      <c r="H13" s="111"/>
      <c r="I13" s="62"/>
      <c r="J13" s="89" t="s">
        <v>46</v>
      </c>
      <c r="K13" s="150" t="s">
        <v>45</v>
      </c>
      <c r="L13" s="151"/>
      <c r="M13" s="57"/>
      <c r="N13" s="57"/>
      <c r="O13" s="57"/>
      <c r="P13" s="57"/>
      <c r="Q13" s="57"/>
    </row>
    <row r="14" spans="1:17" ht="15.75" x14ac:dyDescent="0.25">
      <c r="A14" s="106"/>
      <c r="B14" s="93"/>
      <c r="C14" s="69"/>
      <c r="D14" s="55"/>
      <c r="E14" s="60"/>
      <c r="F14" s="60"/>
      <c r="G14" s="97"/>
      <c r="H14" s="111"/>
      <c r="I14" s="62"/>
      <c r="J14" s="57"/>
      <c r="K14" s="57"/>
      <c r="L14" s="57"/>
      <c r="M14" s="57"/>
      <c r="N14" s="57"/>
      <c r="O14" s="57"/>
      <c r="P14" s="57"/>
      <c r="Q14" s="57"/>
    </row>
    <row r="15" spans="1:17" ht="15.75" x14ac:dyDescent="0.25">
      <c r="A15" s="106"/>
      <c r="B15" s="93"/>
      <c r="C15" s="69"/>
      <c r="D15" s="55"/>
      <c r="E15" s="60"/>
      <c r="F15" s="60"/>
      <c r="G15" s="97"/>
      <c r="H15" s="111"/>
    </row>
    <row r="16" spans="1:17" ht="15.75" x14ac:dyDescent="0.25">
      <c r="A16" s="106"/>
      <c r="B16" s="93"/>
      <c r="C16" s="69"/>
      <c r="D16" s="55"/>
      <c r="E16" s="60"/>
      <c r="F16" s="60"/>
      <c r="G16" s="97"/>
      <c r="H16" s="111"/>
    </row>
    <row r="17" spans="1:17" ht="15.75" x14ac:dyDescent="0.25">
      <c r="A17" s="106"/>
      <c r="B17" s="93"/>
      <c r="C17" s="69"/>
      <c r="D17" s="55"/>
      <c r="E17" s="60"/>
      <c r="F17" s="60"/>
      <c r="G17" s="98"/>
      <c r="H17" s="111"/>
    </row>
    <row r="18" spans="1:17" ht="15.75" x14ac:dyDescent="0.25">
      <c r="A18" s="106"/>
      <c r="B18" s="93"/>
      <c r="C18" s="69"/>
      <c r="D18" s="55"/>
      <c r="E18" s="60"/>
      <c r="F18" s="60"/>
      <c r="G18" s="97"/>
      <c r="H18" s="111"/>
    </row>
    <row r="19" spans="1:17" ht="15.75" x14ac:dyDescent="0.25">
      <c r="A19" s="106"/>
      <c r="B19" s="93"/>
      <c r="C19" s="69"/>
      <c r="D19" s="55"/>
      <c r="E19" s="60"/>
      <c r="F19" s="60"/>
      <c r="G19" s="97"/>
      <c r="H19" s="111"/>
    </row>
    <row r="20" spans="1:17" ht="15.75" x14ac:dyDescent="0.25">
      <c r="A20" s="106"/>
      <c r="B20" s="93"/>
      <c r="C20" s="69"/>
      <c r="D20" s="55"/>
      <c r="E20" s="60"/>
      <c r="F20" s="77"/>
      <c r="G20" s="97"/>
      <c r="H20" s="111"/>
      <c r="I20" s="63"/>
      <c r="J20" s="58"/>
      <c r="K20" s="58"/>
      <c r="L20" s="58"/>
      <c r="M20" s="58"/>
      <c r="N20" s="58"/>
      <c r="O20" s="58"/>
      <c r="P20" s="58"/>
      <c r="Q20" s="58"/>
    </row>
    <row r="21" spans="1:17" ht="15.75" x14ac:dyDescent="0.25">
      <c r="A21" s="106"/>
      <c r="B21" s="93"/>
      <c r="C21" s="69"/>
      <c r="D21" s="55"/>
      <c r="E21" s="60"/>
      <c r="F21" s="77"/>
      <c r="G21" s="97"/>
      <c r="H21" s="111"/>
      <c r="I21" s="63"/>
      <c r="J21" s="58"/>
      <c r="K21" s="58"/>
      <c r="L21" s="58"/>
      <c r="M21" s="58"/>
      <c r="N21" s="58"/>
      <c r="O21" s="58"/>
      <c r="P21" s="58"/>
      <c r="Q21" s="58"/>
    </row>
    <row r="22" spans="1:17" ht="15.75" x14ac:dyDescent="0.25">
      <c r="A22" s="106"/>
      <c r="B22" s="93"/>
      <c r="C22" s="69"/>
      <c r="D22" s="55"/>
      <c r="E22" s="60"/>
      <c r="F22" s="77"/>
      <c r="G22" s="97"/>
      <c r="H22" s="111"/>
      <c r="I22" s="63"/>
      <c r="J22" s="58"/>
      <c r="K22" s="58"/>
      <c r="L22" s="58"/>
      <c r="M22" s="58"/>
      <c r="N22" s="58"/>
      <c r="O22" s="58"/>
      <c r="P22" s="58"/>
      <c r="Q22" s="58"/>
    </row>
    <row r="23" spans="1:17" ht="15.75" x14ac:dyDescent="0.25">
      <c r="A23" s="106"/>
      <c r="B23" s="93"/>
      <c r="C23" s="69"/>
      <c r="D23" s="55"/>
      <c r="E23" s="60"/>
      <c r="F23" s="77"/>
      <c r="G23" s="97"/>
      <c r="H23" s="111"/>
      <c r="I23" s="63"/>
      <c r="J23" s="58"/>
      <c r="K23" s="58"/>
      <c r="L23" s="58"/>
      <c r="M23" s="58"/>
      <c r="N23" s="58"/>
      <c r="O23" s="58"/>
      <c r="P23" s="58"/>
      <c r="Q23" s="58"/>
    </row>
    <row r="24" spans="1:17" ht="15.75" x14ac:dyDescent="0.25">
      <c r="A24" s="106"/>
      <c r="B24" s="93"/>
      <c r="C24" s="69"/>
      <c r="D24" s="55"/>
      <c r="E24" s="60"/>
      <c r="F24" s="60"/>
      <c r="G24" s="97"/>
      <c r="H24" s="111"/>
    </row>
    <row r="25" spans="1:17" ht="15.75" x14ac:dyDescent="0.25">
      <c r="A25" s="106"/>
      <c r="B25" s="96"/>
      <c r="C25" s="69"/>
      <c r="D25" s="55"/>
      <c r="E25" s="60"/>
      <c r="F25" s="60"/>
      <c r="G25" s="97"/>
      <c r="H25" s="111"/>
    </row>
    <row r="26" spans="1:17" ht="15.75" x14ac:dyDescent="0.25">
      <c r="A26" s="106"/>
      <c r="B26" s="93"/>
      <c r="C26" s="69"/>
      <c r="D26" s="55"/>
      <c r="E26" s="60"/>
      <c r="F26" s="60"/>
      <c r="G26" s="97"/>
      <c r="H26" s="111"/>
    </row>
    <row r="27" spans="1:17" ht="15.75" x14ac:dyDescent="0.25">
      <c r="A27" s="106"/>
      <c r="B27" s="93"/>
      <c r="C27" s="69"/>
      <c r="D27" s="55"/>
      <c r="E27" s="60"/>
      <c r="F27" s="60"/>
      <c r="G27" s="97"/>
      <c r="H27" s="111"/>
    </row>
    <row r="28" spans="1:17" ht="15.75" x14ac:dyDescent="0.25">
      <c r="A28" s="106"/>
      <c r="B28" s="93"/>
      <c r="C28" s="69"/>
      <c r="D28" s="55"/>
      <c r="E28" s="60"/>
      <c r="F28" s="60"/>
      <c r="G28" s="97"/>
      <c r="H28" s="111"/>
    </row>
    <row r="29" spans="1:17" ht="15.75" x14ac:dyDescent="0.25">
      <c r="A29" s="106"/>
      <c r="B29" s="93"/>
      <c r="C29" s="69"/>
      <c r="D29" s="55"/>
      <c r="E29" s="60"/>
      <c r="F29" s="60"/>
      <c r="G29" s="97"/>
      <c r="H29" s="111"/>
    </row>
    <row r="30" spans="1:17" ht="15.75" x14ac:dyDescent="0.25">
      <c r="A30" s="106"/>
      <c r="B30" s="93"/>
      <c r="C30" s="69"/>
      <c r="D30" s="55"/>
      <c r="E30" s="60"/>
      <c r="F30" s="60"/>
      <c r="G30" s="97"/>
      <c r="H30" s="111"/>
    </row>
    <row r="31" spans="1:17" ht="15.75" x14ac:dyDescent="0.25">
      <c r="A31" s="106"/>
      <c r="B31" s="93"/>
      <c r="C31" s="69"/>
      <c r="D31" s="55"/>
      <c r="E31" s="60"/>
      <c r="F31" s="60"/>
      <c r="G31" s="97"/>
      <c r="H31" s="111"/>
    </row>
    <row r="32" spans="1:17" ht="15.75" x14ac:dyDescent="0.25">
      <c r="A32" s="106"/>
      <c r="B32" s="93"/>
      <c r="C32" s="69"/>
      <c r="D32" s="55"/>
      <c r="E32" s="60"/>
      <c r="F32" s="60"/>
      <c r="G32" s="97"/>
      <c r="H32" s="111"/>
    </row>
    <row r="33" spans="1:8" ht="15.75" x14ac:dyDescent="0.25">
      <c r="A33" s="106"/>
      <c r="B33" s="93"/>
      <c r="C33" s="69"/>
      <c r="D33" s="55"/>
      <c r="E33" s="60"/>
      <c r="F33" s="60"/>
      <c r="G33" s="97"/>
      <c r="H33" s="111"/>
    </row>
    <row r="34" spans="1:8" ht="15.75" x14ac:dyDescent="0.25">
      <c r="A34" s="106"/>
      <c r="B34" s="96"/>
      <c r="C34" s="69"/>
      <c r="D34" s="55"/>
      <c r="E34" s="60"/>
      <c r="F34" s="60"/>
      <c r="G34" s="60"/>
      <c r="H34" s="111"/>
    </row>
    <row r="35" spans="1:8" ht="15.75" x14ac:dyDescent="0.25">
      <c r="A35" s="106"/>
      <c r="B35" s="96"/>
      <c r="C35" s="69" t="str">
        <f>IF(ISBLANK(B35), "", IF(0&gt;=(B35-'Nurse Grid Dashboard'!$B$2), "EXPIRED", IF(AND((B35-'Nurse Grid Dashboard'!$B$2)&gt;0, (B35-'Nurse Grid Dashboard'!$B$2)&lt;=90), "EXPIRES SOON", "GOOD STANDING")))</f>
        <v/>
      </c>
      <c r="D35" s="55"/>
      <c r="E35" s="60"/>
      <c r="F35" s="60"/>
      <c r="G35" s="60"/>
      <c r="H35" s="111"/>
    </row>
    <row r="36" spans="1:8" ht="15.75" x14ac:dyDescent="0.25">
      <c r="A36" s="106"/>
      <c r="B36" s="96"/>
      <c r="C36" s="69" t="str">
        <f>IF(ISBLANK(B36), "", IF(0&gt;=(B36-'Nurse Grid Dashboard'!$B$2), "EXPIRED", IF(AND((B36-'Nurse Grid Dashboard'!$B$2)&gt;0, (B36-'Nurse Grid Dashboard'!$B$2)&lt;=90), "EXPIRES SOON", "GOOD STANDING")))</f>
        <v/>
      </c>
      <c r="D36" s="55"/>
      <c r="E36" s="60"/>
      <c r="F36" s="60"/>
      <c r="G36" s="60"/>
      <c r="H36" s="111"/>
    </row>
    <row r="37" spans="1:8" ht="15.75" x14ac:dyDescent="0.25">
      <c r="A37" s="106"/>
      <c r="B37" s="96"/>
      <c r="C37" s="69" t="str">
        <f>IF(ISBLANK(B37), "", IF(0&gt;=(B37-'Nurse Grid Dashboard'!$B$2), "EXPIRED", IF(AND((B37-'Nurse Grid Dashboard'!$B$2)&gt;0, (B37-'Nurse Grid Dashboard'!$B$2)&lt;=90), "EXPIRES SOON", "GOOD STANDING")))</f>
        <v/>
      </c>
      <c r="D37" s="55"/>
      <c r="E37" s="60"/>
      <c r="F37" s="60"/>
      <c r="G37" s="60"/>
      <c r="H37" s="111"/>
    </row>
    <row r="38" spans="1:8" ht="15.75" x14ac:dyDescent="0.25">
      <c r="A38" s="106"/>
      <c r="B38" s="54"/>
      <c r="C38" s="69" t="str">
        <f>IF(ISBLANK(B38), "", IF(0&gt;=(B38-'Nurse Grid Dashboard'!$B$2), "EXPIRED", IF(AND((B38-'Nurse Grid Dashboard'!$B$2)&gt;0, (B38-'Nurse Grid Dashboard'!$B$2)&lt;=90), "EXPIRES SOON", "GOOD STANDING")))</f>
        <v/>
      </c>
      <c r="D38" s="55"/>
      <c r="E38" s="60"/>
      <c r="F38" s="60"/>
      <c r="G38" s="60"/>
      <c r="H38" s="111"/>
    </row>
    <row r="39" spans="1:8" ht="15.75" x14ac:dyDescent="0.25">
      <c r="A39" s="71"/>
      <c r="B39" s="54"/>
      <c r="C39" s="69" t="str">
        <f>IF(ISBLANK(B39), "", IF(0&gt;=(B39-'Nurse Grid Dashboard'!$B$2), "EXPIRED", IF(AND((B39-'Nurse Grid Dashboard'!$B$2)&gt;0, (B39-'Nurse Grid Dashboard'!$B$2)&lt;=90), "EXPIRES SOON", "GOOD STANDING")))</f>
        <v/>
      </c>
      <c r="D39" s="55"/>
      <c r="E39" s="60"/>
      <c r="F39" s="60"/>
      <c r="G39" s="60"/>
      <c r="H39" s="112"/>
    </row>
    <row r="40" spans="1:8" ht="15.75" x14ac:dyDescent="0.25">
      <c r="A40" s="71"/>
      <c r="B40" s="54"/>
      <c r="C40" s="69" t="str">
        <f>IF(ISBLANK(B40), "", IF(0&gt;=(B40-'Nurse Grid Dashboard'!$B$2), "EXPIRED", IF(AND((B40-'Nurse Grid Dashboard'!$B$2)&gt;0, (B40-'Nurse Grid Dashboard'!$B$2)&lt;=90), "EXPIRES SOON", "GOOD STANDING")))</f>
        <v/>
      </c>
      <c r="D40" s="55"/>
      <c r="E40" s="60"/>
      <c r="F40" s="60"/>
      <c r="G40" s="60"/>
      <c r="H40" s="112"/>
    </row>
    <row r="41" spans="1:8" ht="15.75" x14ac:dyDescent="0.25">
      <c r="A41" s="71"/>
      <c r="B41" s="54"/>
      <c r="C41" s="69" t="str">
        <f>IF(ISBLANK(B41), "", IF(0&gt;=(B41-'Nurse Grid Dashboard'!$B$2), "EXPIRED", IF(AND((B41-'Nurse Grid Dashboard'!$B$2)&gt;0, (B41-'Nurse Grid Dashboard'!$B$2)&lt;=90), "EXPIRES SOON", "GOOD STANDING")))</f>
        <v/>
      </c>
      <c r="D41" s="55"/>
      <c r="E41" s="60"/>
      <c r="F41" s="60"/>
      <c r="G41" s="60"/>
      <c r="H41" s="112"/>
    </row>
    <row r="42" spans="1:8" ht="15.75" x14ac:dyDescent="0.25">
      <c r="A42" s="71"/>
      <c r="B42" s="54"/>
      <c r="C42" s="69" t="str">
        <f>IF(ISBLANK(B42), "", IF(0&gt;=(B42-'Nurse Grid Dashboard'!$B$2), "EXPIRED", IF(AND((B42-'Nurse Grid Dashboard'!$B$2)&gt;0, (B42-'Nurse Grid Dashboard'!$B$2)&lt;=90), "EXPIRES SOON", "GOOD STANDING")))</f>
        <v/>
      </c>
      <c r="D42" s="55"/>
      <c r="E42" s="60"/>
      <c r="F42" s="60"/>
      <c r="G42" s="60"/>
      <c r="H42" s="112"/>
    </row>
    <row r="43" spans="1:8" ht="15.75" x14ac:dyDescent="0.25">
      <c r="A43" s="71"/>
      <c r="B43" s="54"/>
      <c r="C43" s="69" t="str">
        <f>IF(ISBLANK(B43), "", IF(0&gt;=(B43-'Nurse Grid Dashboard'!$B$2), "EXPIRED", IF(AND((B43-'Nurse Grid Dashboard'!$B$2)&gt;0, (B43-'Nurse Grid Dashboard'!$B$2)&lt;=90), "EXPIRES SOON", "GOOD STANDING")))</f>
        <v/>
      </c>
      <c r="D43" s="55"/>
      <c r="E43" s="60"/>
      <c r="F43" s="60"/>
      <c r="G43" s="60"/>
      <c r="H43" s="112"/>
    </row>
    <row r="44" spans="1:8" ht="15.75" x14ac:dyDescent="0.25">
      <c r="A44" s="71"/>
      <c r="B44" s="54"/>
      <c r="C44" s="69" t="str">
        <f>IF(ISBLANK(B44), "", IF(0&gt;=(B44-'Nurse Grid Dashboard'!$B$2), "EXPIRED", IF(AND((B44-'Nurse Grid Dashboard'!$B$2)&gt;0, (B44-'Nurse Grid Dashboard'!$B$2)&lt;=90), "EXPIRES SOON", "GOOD STANDING")))</f>
        <v/>
      </c>
      <c r="D44" s="55"/>
      <c r="E44" s="60"/>
      <c r="F44" s="60"/>
      <c r="G44" s="60"/>
      <c r="H44" s="112"/>
    </row>
    <row r="45" spans="1:8" ht="15.75" x14ac:dyDescent="0.25">
      <c r="A45" s="71"/>
      <c r="B45" s="54"/>
      <c r="C45" s="69" t="str">
        <f>IF(ISBLANK(B45), "", IF(0&gt;=(B45-'Nurse Grid Dashboard'!$B$2), "EXPIRED", IF(AND((B45-'Nurse Grid Dashboard'!$B$2)&gt;0, (B45-'Nurse Grid Dashboard'!$B$2)&lt;=90), "EXPIRES SOON", "GOOD STANDING")))</f>
        <v/>
      </c>
      <c r="D45" s="55"/>
      <c r="E45" s="60"/>
      <c r="F45" s="60"/>
      <c r="G45" s="60"/>
      <c r="H45" s="112"/>
    </row>
    <row r="46" spans="1:8" ht="15.75" x14ac:dyDescent="0.25">
      <c r="A46" s="71"/>
      <c r="B46" s="54"/>
      <c r="C46" s="69" t="str">
        <f>IF(ISBLANK(B46), "", IF(0&gt;=(B46-'Nurse Grid Dashboard'!$B$2), "EXPIRED", IF(AND((B46-'Nurse Grid Dashboard'!$B$2)&gt;0, (B46-'Nurse Grid Dashboard'!$B$2)&lt;=90), "EXPIRES SOON", "GOOD STANDING")))</f>
        <v/>
      </c>
      <c r="D46" s="55"/>
      <c r="E46" s="60"/>
      <c r="F46" s="60"/>
      <c r="G46" s="60"/>
      <c r="H46" s="112"/>
    </row>
    <row r="47" spans="1:8" ht="15.75" x14ac:dyDescent="0.25">
      <c r="A47" s="71"/>
      <c r="B47" s="54"/>
      <c r="C47" s="69" t="str">
        <f>IF(ISBLANK(B47), "", IF(0&gt;=(B47-'Nurse Grid Dashboard'!$B$2), "EXPIRED", IF(AND((B47-'Nurse Grid Dashboard'!$B$2)&gt;0, (B47-'Nurse Grid Dashboard'!$B$2)&lt;=90), "EXPIRES SOON", "GOOD STANDING")))</f>
        <v/>
      </c>
      <c r="D47" s="55"/>
      <c r="E47" s="60"/>
      <c r="F47" s="60"/>
      <c r="G47" s="60"/>
      <c r="H47" s="112"/>
    </row>
    <row r="48" spans="1:8" ht="15.75" x14ac:dyDescent="0.25">
      <c r="A48" s="71"/>
      <c r="B48" s="54"/>
      <c r="C48" s="69" t="str">
        <f>IF(ISBLANK(B48), "", IF(0&gt;=(B48-'Nurse Grid Dashboard'!$B$2), "EXPIRED", IF(AND((B48-'Nurse Grid Dashboard'!$B$2)&gt;0, (B48-'Nurse Grid Dashboard'!$B$2)&lt;=90), "EXPIRES SOON", "GOOD STANDING")))</f>
        <v/>
      </c>
      <c r="D48" s="55"/>
      <c r="E48" s="60"/>
      <c r="F48" s="60"/>
      <c r="G48" s="60"/>
      <c r="H48" s="112"/>
    </row>
    <row r="49" spans="1:8" ht="15.75" x14ac:dyDescent="0.25">
      <c r="A49" s="71"/>
      <c r="B49" s="54"/>
      <c r="C49" s="69" t="str">
        <f>IF(ISBLANK(B49), "", IF(0&gt;=(B49-'Nurse Grid Dashboard'!$B$2), "EXPIRED", IF(AND((B49-'Nurse Grid Dashboard'!$B$2)&gt;0, (B49-'Nurse Grid Dashboard'!$B$2)&lt;=90), "EXPIRES SOON", "GOOD STANDING")))</f>
        <v/>
      </c>
      <c r="D49" s="55"/>
      <c r="E49" s="60"/>
      <c r="F49" s="60"/>
      <c r="G49" s="60"/>
      <c r="H49" s="112"/>
    </row>
    <row r="50" spans="1:8" ht="15.75" x14ac:dyDescent="0.25">
      <c r="A50" s="71"/>
      <c r="B50" s="54"/>
      <c r="C50" s="69" t="str">
        <f>IF(ISBLANK(B50), "", IF(0&gt;=(B50-'Nurse Grid Dashboard'!$B$2), "EXPIRED", IF(AND((B50-'Nurse Grid Dashboard'!$B$2)&gt;0, (B50-'Nurse Grid Dashboard'!$B$2)&lt;=90), "EXPIRES SOON", "GOOD STANDING")))</f>
        <v/>
      </c>
      <c r="D50" s="55"/>
      <c r="E50" s="60"/>
      <c r="F50" s="60"/>
      <c r="G50" s="60"/>
      <c r="H50" s="112"/>
    </row>
    <row r="51" spans="1:8" ht="15.75" x14ac:dyDescent="0.25">
      <c r="A51" s="71"/>
      <c r="B51" s="54"/>
      <c r="C51" s="69" t="str">
        <f>IF(ISBLANK(B51), "", IF(0&gt;=(B51-'Nurse Grid Dashboard'!$B$2), "EXPIRED", IF(AND((B51-'Nurse Grid Dashboard'!$B$2)&gt;0, (B51-'Nurse Grid Dashboard'!$B$2)&lt;=90), "EXPIRES SOON", "GOOD STANDING")))</f>
        <v/>
      </c>
      <c r="D51" s="55"/>
      <c r="E51" s="60"/>
      <c r="F51" s="60"/>
      <c r="G51" s="60"/>
      <c r="H51" s="112"/>
    </row>
    <row r="52" spans="1:8" ht="15.75" x14ac:dyDescent="0.25">
      <c r="A52" s="71"/>
      <c r="B52" s="54"/>
      <c r="C52" s="69" t="str">
        <f>IF(ISBLANK(B52), "", IF(0&gt;=(B52-'Nurse Grid Dashboard'!$B$2), "EXPIRED", IF(AND((B52-'Nurse Grid Dashboard'!$B$2)&gt;0, (B52-'Nurse Grid Dashboard'!$B$2)&lt;=90), "EXPIRES SOON", "GOOD STANDING")))</f>
        <v/>
      </c>
      <c r="D52" s="55"/>
      <c r="E52" s="60"/>
      <c r="F52" s="60"/>
      <c r="G52" s="60"/>
      <c r="H52" s="112"/>
    </row>
    <row r="53" spans="1:8" ht="15.75" x14ac:dyDescent="0.25">
      <c r="A53" s="71"/>
      <c r="B53" s="54"/>
      <c r="C53" s="69" t="str">
        <f>IF(ISBLANK(B53), "", IF(0&gt;=(B53-'Nurse Grid Dashboard'!$B$2), "EXPIRED", IF(AND((B53-'Nurse Grid Dashboard'!$B$2)&gt;0, (B53-'Nurse Grid Dashboard'!$B$2)&lt;=90), "EXPIRES SOON", "GOOD STANDING")))</f>
        <v/>
      </c>
      <c r="D53" s="55"/>
      <c r="E53" s="60"/>
      <c r="F53" s="60"/>
      <c r="G53" s="60"/>
      <c r="H53" s="112"/>
    </row>
    <row r="54" spans="1:8" ht="15.75" x14ac:dyDescent="0.25">
      <c r="A54" s="71"/>
      <c r="B54" s="54"/>
      <c r="C54" s="69" t="str">
        <f>IF(ISBLANK(B54), "", IF(0&gt;=(B54-'Nurse Grid Dashboard'!$B$2), "EXPIRED", IF(AND((B54-'Nurse Grid Dashboard'!$B$2)&gt;0, (B54-'Nurse Grid Dashboard'!$B$2)&lt;=90), "EXPIRES SOON", "GOOD STANDING")))</f>
        <v/>
      </c>
      <c r="D54" s="55"/>
      <c r="E54" s="60"/>
      <c r="F54" s="60"/>
      <c r="G54" s="60"/>
      <c r="H54" s="112"/>
    </row>
    <row r="55" spans="1:8" ht="15.75" x14ac:dyDescent="0.25">
      <c r="A55" s="71"/>
      <c r="B55" s="54"/>
      <c r="C55" s="69" t="str">
        <f>IF(ISBLANK(B55), "", IF(0&gt;=(B55-'Nurse Grid Dashboard'!$B$2), "EXPIRED", IF(AND((B55-'Nurse Grid Dashboard'!$B$2)&gt;0, (B55-'Nurse Grid Dashboard'!$B$2)&lt;=90), "EXPIRES SOON", "GOOD STANDING")))</f>
        <v/>
      </c>
      <c r="D55" s="55"/>
      <c r="E55" s="60"/>
      <c r="F55" s="60"/>
      <c r="G55" s="60"/>
      <c r="H55" s="112"/>
    </row>
    <row r="56" spans="1:8" ht="15.75" x14ac:dyDescent="0.25">
      <c r="A56" s="71"/>
      <c r="B56" s="54"/>
      <c r="C56" s="69" t="str">
        <f>IF(ISBLANK(B56), "", IF(0&gt;=(B56-'Nurse Grid Dashboard'!$B$2), "EXPIRED", IF(AND((B56-'Nurse Grid Dashboard'!$B$2)&gt;0, (B56-'Nurse Grid Dashboard'!$B$2)&lt;=90), "EXPIRES SOON", "GOOD STANDING")))</f>
        <v/>
      </c>
      <c r="D56" s="55"/>
      <c r="E56" s="60"/>
      <c r="F56" s="60"/>
      <c r="G56" s="60"/>
      <c r="H56" s="112"/>
    </row>
    <row r="57" spans="1:8" ht="16.5" thickBot="1" x14ac:dyDescent="0.3">
      <c r="A57" s="72"/>
      <c r="B57" s="73"/>
      <c r="C57" s="78" t="str">
        <f>IF(ISBLANK(B57), "", IF(0&gt;=(B57-'Nurse Grid Dashboard'!$B$2), "EXPIRED", IF(AND((B57-'Nurse Grid Dashboard'!$B$2)&gt;0, (B57-'Nurse Grid Dashboard'!$B$2)&lt;=90), "EXPIRES SOON", "GOOD STANDING")))</f>
        <v/>
      </c>
      <c r="D57" s="74"/>
      <c r="E57" s="75"/>
      <c r="F57" s="75"/>
      <c r="G57" s="75"/>
      <c r="H57" s="113"/>
    </row>
  </sheetData>
  <mergeCells count="14">
    <mergeCell ref="K13:L13"/>
    <mergeCell ref="H1:H2"/>
    <mergeCell ref="K7:L7"/>
    <mergeCell ref="K8:L8"/>
    <mergeCell ref="K9:L9"/>
    <mergeCell ref="K10:L10"/>
    <mergeCell ref="K11:L11"/>
    <mergeCell ref="K12:L12"/>
    <mergeCell ref="K6:L6"/>
    <mergeCell ref="B1:C1"/>
    <mergeCell ref="D1:F1"/>
    <mergeCell ref="G1:G2"/>
    <mergeCell ref="J1:L1"/>
    <mergeCell ref="J5:L5"/>
  </mergeCells>
  <conditionalFormatting sqref="C3:C57">
    <cfRule type="containsText" dxfId="35" priority="1" operator="containsText" text="EXPIRED">
      <formula>NOT(ISERROR(SEARCH("EXPIRED",C3)))</formula>
    </cfRule>
    <cfRule type="containsText" dxfId="34" priority="2" operator="containsText" text="GOOD STANDING">
      <formula>NOT(ISERROR(SEARCH("GOOD STANDING",C3)))</formula>
    </cfRule>
    <cfRule type="containsText" dxfId="33" priority="3" operator="containsText" text="EXPIRED">
      <formula>NOT(ISERROR(SEARCH("EXPIRED",C3)))</formula>
    </cfRule>
    <cfRule type="containsText" dxfId="32" priority="4" operator="containsText" text="EXPIRED">
      <formula>NOT(ISERROR(SEARCH("EXPIRED",C3)))</formula>
    </cfRule>
    <cfRule type="containsText" dxfId="31" priority="5" operator="containsText" text="EXPIRED">
      <formula>NOT(ISERROR(SEARCH("EXPIRED",C3)))</formula>
    </cfRule>
    <cfRule type="containsText" dxfId="30" priority="6" operator="containsText" text="EXPIRES SOON">
      <formula>NOT(ISERROR(SEARCH("EXPIRES SOON",C3)))</formula>
    </cfRule>
    <cfRule type="containsText" dxfId="29" priority="7" operator="containsText" text="GOOD STANDING">
      <formula>NOT(ISERROR(SEARCH("GOOD STANDING",C3)))</formula>
    </cfRule>
    <cfRule type="containsText" dxfId="28" priority="12" operator="containsText" text="EXPIRES SOON">
      <formula>NOT(ISERROR(SEARCH("EXPIRES SOON",C3)))</formula>
    </cfRule>
  </conditionalFormatting>
  <conditionalFormatting sqref="C14">
    <cfRule type="containsText" dxfId="27" priority="8" operator="containsText" text="GOOD STANDING">
      <formula>NOT(ISERROR(SEARCH("GOOD STANDING",C14)))</formula>
    </cfRule>
    <cfRule type="containsText" dxfId="26" priority="9" operator="containsText" text="GOOD$C$14">
      <formula>NOT(ISERROR(SEARCH("GOOD$C$14",C14)))</formula>
    </cfRule>
    <cfRule type="containsText" dxfId="25" priority="10" operator="containsText" text="GOOD$14:$14 STANDING">
      <formula>NOT(ISERROR(SEARCH("GOOD$14:$14 STANDING",C14)))</formula>
    </cfRule>
    <cfRule type="cellIs" dxfId="24" priority="11" operator="equal">
      <formula>"'GOOD STANDING"</formula>
    </cfRule>
  </conditionalFormatting>
  <hyperlinks>
    <hyperlink ref="K6" r:id="rId1" display="davidpeterkramer@outlook.com" xr:uid="{7A2DFFC6-D94A-4BD9-8F6C-400FBA7D98BD}"/>
    <hyperlink ref="K7" r:id="rId2" display="rileyanne1@ec.rr.com" xr:uid="{43D0CBBA-4644-4FD6-B547-07A8B79A2C68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99F5-DDFC-4ADD-8D8A-3AB4BCFD2147}">
  <sheetPr codeName="Sheet13"/>
  <dimension ref="A1:Q57"/>
  <sheetViews>
    <sheetView zoomScaleNormal="100" workbookViewId="0">
      <selection activeCell="K7" sqref="K7:L7"/>
    </sheetView>
  </sheetViews>
  <sheetFormatPr defaultRowHeight="15" x14ac:dyDescent="0.25"/>
  <cols>
    <col min="1" max="1" width="28.28515625" customWidth="1"/>
    <col min="2" max="2" width="17.28515625" customWidth="1"/>
    <col min="3" max="3" width="23.28515625" customWidth="1"/>
    <col min="4" max="5" width="8.7109375" style="53" customWidth="1"/>
    <col min="6" max="6" width="8.85546875" style="53" customWidth="1"/>
    <col min="7" max="7" width="33.5703125" style="53" customWidth="1"/>
    <col min="8" max="8" width="32.85546875" style="53" customWidth="1"/>
    <col min="9" max="9" width="9.42578125" style="53" customWidth="1"/>
    <col min="10" max="10" width="16.28515625" bestFit="1" customWidth="1"/>
    <col min="11" max="11" width="17.140625" customWidth="1"/>
    <col min="12" max="12" width="17.7109375" customWidth="1"/>
  </cols>
  <sheetData>
    <row r="1" spans="1:17" ht="23.65" customHeight="1" thickBot="1" x14ac:dyDescent="0.35">
      <c r="A1" s="101" t="s">
        <v>12</v>
      </c>
      <c r="B1" s="167" t="s">
        <v>8</v>
      </c>
      <c r="C1" s="168"/>
      <c r="D1" s="161" t="s">
        <v>22</v>
      </c>
      <c r="E1" s="162"/>
      <c r="F1" s="163"/>
      <c r="G1" s="154" t="s">
        <v>33</v>
      </c>
      <c r="H1" s="154" t="s">
        <v>48</v>
      </c>
      <c r="J1" s="156" t="s">
        <v>26</v>
      </c>
      <c r="K1" s="157"/>
      <c r="L1" s="158"/>
    </row>
    <row r="2" spans="1:17" ht="19.5" thickBot="1" x14ac:dyDescent="0.35">
      <c r="A2" s="94" t="s">
        <v>4</v>
      </c>
      <c r="B2" s="65" t="s">
        <v>0</v>
      </c>
      <c r="C2" s="61" t="s">
        <v>5</v>
      </c>
      <c r="D2" s="66" t="s">
        <v>23</v>
      </c>
      <c r="E2" s="67" t="s">
        <v>24</v>
      </c>
      <c r="F2" s="68" t="s">
        <v>25</v>
      </c>
      <c r="G2" s="155"/>
      <c r="H2" s="155"/>
      <c r="J2" s="84" t="s">
        <v>27</v>
      </c>
      <c r="K2" s="87" t="s">
        <v>28</v>
      </c>
      <c r="L2" s="85" t="s">
        <v>29</v>
      </c>
    </row>
    <row r="3" spans="1:17" ht="15.75" thickBot="1" x14ac:dyDescent="0.3">
      <c r="A3" s="105" t="s">
        <v>51</v>
      </c>
      <c r="B3" s="92">
        <v>45504</v>
      </c>
      <c r="C3" s="69" t="str">
        <f ca="1">IF(ISBLANK(B3), "", IF(0&gt;=(B3-'Nurse Grid Dashboard'!$B$2), "EXPIRED", IF(AND((B3-'Nurse Grid Dashboard'!$B$2)&gt;0, (B3-'Nurse Grid Dashboard'!$B$2)&lt;=90), "EXPIRES SOON", "GOOD STANDING")))</f>
        <v>EXPIRED</v>
      </c>
      <c r="D3" s="56"/>
      <c r="E3" s="59"/>
      <c r="F3" s="60"/>
      <c r="G3" s="97"/>
      <c r="H3" s="103"/>
      <c r="J3" s="82">
        <f ca="1">COUNTIF(C3:C57, "*good standing*")</f>
        <v>0</v>
      </c>
      <c r="K3" s="86">
        <f ca="1">COUNTIF(C3:C57, "*expires soon*")</f>
        <v>0</v>
      </c>
      <c r="L3" s="83">
        <f ca="1">COUNTIF(C3:C57, "*expired*")</f>
        <v>1</v>
      </c>
    </row>
    <row r="4" spans="1:17" ht="15.75" thickBot="1" x14ac:dyDescent="0.3">
      <c r="A4" s="102"/>
      <c r="B4" s="93"/>
      <c r="C4" s="69"/>
      <c r="D4" s="55"/>
      <c r="E4" s="60"/>
      <c r="F4" s="60"/>
      <c r="G4" s="97"/>
      <c r="H4" s="104"/>
    </row>
    <row r="5" spans="1:17" ht="18.75" x14ac:dyDescent="0.3">
      <c r="A5" s="102"/>
      <c r="B5" s="93"/>
      <c r="C5" s="69"/>
      <c r="D5" s="55"/>
      <c r="E5" s="60"/>
      <c r="F5" s="60"/>
      <c r="G5" s="97"/>
      <c r="H5" s="104"/>
      <c r="J5" s="164" t="s">
        <v>30</v>
      </c>
      <c r="K5" s="165"/>
      <c r="L5" s="166"/>
    </row>
    <row r="6" spans="1:17" x14ac:dyDescent="0.25">
      <c r="A6" s="102"/>
      <c r="B6" s="93"/>
      <c r="C6" s="69"/>
      <c r="D6" s="55"/>
      <c r="E6" s="60"/>
      <c r="F6" s="60"/>
      <c r="G6" s="97"/>
      <c r="H6" s="104"/>
      <c r="J6" s="81" t="s">
        <v>31</v>
      </c>
      <c r="K6" s="152" t="s">
        <v>34</v>
      </c>
      <c r="L6" s="153"/>
    </row>
    <row r="7" spans="1:17" x14ac:dyDescent="0.25">
      <c r="A7" s="105"/>
      <c r="B7" s="92"/>
      <c r="C7" s="69"/>
      <c r="D7" s="55"/>
      <c r="E7" s="60"/>
      <c r="F7" s="60"/>
      <c r="G7" s="97"/>
      <c r="H7" s="104"/>
      <c r="J7" s="81" t="s">
        <v>32</v>
      </c>
      <c r="K7" s="152" t="s">
        <v>34</v>
      </c>
      <c r="L7" s="153"/>
    </row>
    <row r="8" spans="1:17" x14ac:dyDescent="0.25">
      <c r="A8" s="102"/>
      <c r="B8" s="93"/>
      <c r="C8" s="69"/>
      <c r="D8" s="55"/>
      <c r="E8" s="60"/>
      <c r="F8" s="60"/>
      <c r="G8" s="97"/>
      <c r="H8" s="104"/>
      <c r="J8" s="81" t="s">
        <v>35</v>
      </c>
      <c r="K8" s="148" t="s">
        <v>40</v>
      </c>
      <c r="L8" s="149"/>
    </row>
    <row r="9" spans="1:17" ht="15.75" x14ac:dyDescent="0.25">
      <c r="A9" s="106"/>
      <c r="B9" s="93"/>
      <c r="C9" s="69"/>
      <c r="D9" s="55"/>
      <c r="E9" s="60"/>
      <c r="F9" s="60"/>
      <c r="G9" s="97"/>
      <c r="H9" s="104"/>
      <c r="J9" s="81" t="s">
        <v>36</v>
      </c>
      <c r="K9" s="148" t="s">
        <v>41</v>
      </c>
      <c r="L9" s="149"/>
    </row>
    <row r="10" spans="1:17" ht="15.75" x14ac:dyDescent="0.25">
      <c r="A10" s="106"/>
      <c r="B10" s="93"/>
      <c r="C10" s="69"/>
      <c r="D10" s="55"/>
      <c r="E10" s="60"/>
      <c r="F10" s="60"/>
      <c r="G10" s="97"/>
      <c r="H10" s="104"/>
      <c r="J10" s="81" t="s">
        <v>39</v>
      </c>
      <c r="K10" s="148" t="s">
        <v>42</v>
      </c>
      <c r="L10" s="149"/>
    </row>
    <row r="11" spans="1:17" ht="15.6" customHeight="1" x14ac:dyDescent="0.25">
      <c r="A11" s="106"/>
      <c r="B11" s="93"/>
      <c r="C11" s="69"/>
      <c r="D11" s="55"/>
      <c r="E11" s="60"/>
      <c r="F11" s="60"/>
      <c r="G11" s="97"/>
      <c r="H11" s="104"/>
      <c r="I11" s="62"/>
      <c r="J11" s="81" t="s">
        <v>37</v>
      </c>
      <c r="K11" s="148" t="s">
        <v>43</v>
      </c>
      <c r="L11" s="149"/>
      <c r="M11" s="57"/>
      <c r="N11" s="57"/>
      <c r="O11" s="57"/>
      <c r="P11" s="57"/>
      <c r="Q11" s="57"/>
    </row>
    <row r="12" spans="1:17" ht="15.75" x14ac:dyDescent="0.25">
      <c r="A12" s="106"/>
      <c r="B12" s="93"/>
      <c r="C12" s="69"/>
      <c r="D12" s="55"/>
      <c r="E12" s="60"/>
      <c r="F12" s="60"/>
      <c r="G12" s="97"/>
      <c r="H12" s="104"/>
      <c r="I12" s="62"/>
      <c r="J12" s="88" t="s">
        <v>38</v>
      </c>
      <c r="K12" s="148" t="s">
        <v>44</v>
      </c>
      <c r="L12" s="149"/>
      <c r="M12" s="57"/>
      <c r="N12" s="57"/>
      <c r="O12" s="57"/>
      <c r="P12" s="57"/>
      <c r="Q12" s="57"/>
    </row>
    <row r="13" spans="1:17" ht="16.5" thickBot="1" x14ac:dyDescent="0.3">
      <c r="A13" s="106"/>
      <c r="B13" s="93"/>
      <c r="C13" s="69"/>
      <c r="D13" s="55"/>
      <c r="E13" s="60"/>
      <c r="F13" s="60"/>
      <c r="G13" s="97"/>
      <c r="H13" s="104"/>
      <c r="I13" s="62"/>
      <c r="J13" s="89" t="s">
        <v>46</v>
      </c>
      <c r="K13" s="150" t="s">
        <v>45</v>
      </c>
      <c r="L13" s="151"/>
      <c r="M13" s="57"/>
      <c r="N13" s="57"/>
      <c r="O13" s="57"/>
      <c r="P13" s="57"/>
      <c r="Q13" s="57"/>
    </row>
    <row r="14" spans="1:17" ht="15.75" x14ac:dyDescent="0.25">
      <c r="A14" s="106"/>
      <c r="B14" s="93"/>
      <c r="C14" s="69"/>
      <c r="D14" s="55"/>
      <c r="E14" s="60"/>
      <c r="F14" s="60"/>
      <c r="G14" s="97"/>
      <c r="H14" s="104"/>
      <c r="I14" s="62"/>
      <c r="J14" s="57"/>
      <c r="K14" s="57"/>
      <c r="L14" s="57"/>
      <c r="M14" s="57"/>
      <c r="N14" s="57"/>
      <c r="O14" s="57"/>
      <c r="P14" s="57"/>
      <c r="Q14" s="57"/>
    </row>
    <row r="15" spans="1:17" ht="15.75" x14ac:dyDescent="0.25">
      <c r="A15" s="106"/>
      <c r="B15" s="93"/>
      <c r="C15" s="69"/>
      <c r="D15" s="55"/>
      <c r="E15" s="60"/>
      <c r="F15" s="60"/>
      <c r="G15" s="97"/>
      <c r="H15" s="104"/>
    </row>
    <row r="16" spans="1:17" ht="15.75" x14ac:dyDescent="0.25">
      <c r="A16" s="106"/>
      <c r="B16" s="93"/>
      <c r="C16" s="69"/>
      <c r="D16" s="55"/>
      <c r="E16" s="60"/>
      <c r="F16" s="60"/>
      <c r="G16" s="97"/>
      <c r="H16" s="104"/>
    </row>
    <row r="17" spans="1:17" ht="15.75" x14ac:dyDescent="0.25">
      <c r="A17" s="106"/>
      <c r="B17" s="93"/>
      <c r="C17" s="69"/>
      <c r="D17" s="55"/>
      <c r="E17" s="60"/>
      <c r="F17" s="60"/>
      <c r="G17" s="98"/>
      <c r="H17" s="107"/>
    </row>
    <row r="18" spans="1:17" ht="15.75" x14ac:dyDescent="0.25">
      <c r="A18" s="106"/>
      <c r="B18" s="93"/>
      <c r="C18" s="69"/>
      <c r="D18" s="55"/>
      <c r="E18" s="60"/>
      <c r="F18" s="60"/>
      <c r="G18" s="97"/>
      <c r="H18" s="104"/>
    </row>
    <row r="19" spans="1:17" ht="15.75" x14ac:dyDescent="0.25">
      <c r="A19" s="106"/>
      <c r="B19" s="93"/>
      <c r="C19" s="69"/>
      <c r="D19" s="55"/>
      <c r="E19" s="60"/>
      <c r="F19" s="60"/>
      <c r="G19" s="97"/>
      <c r="H19" s="104"/>
    </row>
    <row r="20" spans="1:17" ht="15.75" x14ac:dyDescent="0.25">
      <c r="A20" s="106"/>
      <c r="B20" s="93"/>
      <c r="C20" s="69" t="str">
        <f>IF(ISBLANK(B20), "", IF(0&gt;=(B20-'Nurse Grid Dashboard'!$B$2), "EXPIRED", IF(AND((B20-'Nurse Grid Dashboard'!$B$2)&gt;0, (B20-'Nurse Grid Dashboard'!$B$2)&lt;=90), "EXPIRES SOON", "GOOD STANDING")))</f>
        <v/>
      </c>
      <c r="D20" s="55"/>
      <c r="E20" s="60"/>
      <c r="F20" s="77"/>
      <c r="G20" s="97"/>
      <c r="H20" s="104"/>
      <c r="I20" s="63"/>
      <c r="J20" s="58"/>
      <c r="K20" s="58"/>
      <c r="L20" s="58"/>
      <c r="M20" s="58"/>
      <c r="N20" s="58"/>
      <c r="O20" s="58"/>
      <c r="P20" s="58"/>
      <c r="Q20" s="58"/>
    </row>
    <row r="21" spans="1:17" ht="15.75" x14ac:dyDescent="0.25">
      <c r="A21" s="106"/>
      <c r="B21" s="93"/>
      <c r="C21" s="69" t="str">
        <f>IF(ISBLANK(B21), "", IF(0&gt;=(B21-'Nurse Grid Dashboard'!$B$2), "EXPIRED", IF(AND((B21-'Nurse Grid Dashboard'!$B$2)&gt;0, (B21-'Nurse Grid Dashboard'!$B$2)&lt;=90), "EXPIRES SOON", "GOOD STANDING")))</f>
        <v/>
      </c>
      <c r="D21" s="55"/>
      <c r="E21" s="60"/>
      <c r="F21" s="77"/>
      <c r="G21" s="97"/>
      <c r="H21" s="104"/>
      <c r="I21" s="63"/>
      <c r="J21" s="58"/>
      <c r="K21" s="58"/>
      <c r="L21" s="58"/>
      <c r="M21" s="58"/>
      <c r="N21" s="58"/>
      <c r="O21" s="58"/>
      <c r="P21" s="58"/>
      <c r="Q21" s="58"/>
    </row>
    <row r="22" spans="1:17" ht="15.75" x14ac:dyDescent="0.25">
      <c r="A22" s="106"/>
      <c r="B22" s="93"/>
      <c r="C22" s="69" t="str">
        <f>IF(ISBLANK(B22), "", IF(0&gt;=(B22-'Nurse Grid Dashboard'!$B$2), "EXPIRED", IF(AND((B22-'Nurse Grid Dashboard'!$B$2)&gt;0, (B22-'Nurse Grid Dashboard'!$B$2)&lt;=90), "EXPIRES SOON", "GOOD STANDING")))</f>
        <v/>
      </c>
      <c r="D22" s="55"/>
      <c r="E22" s="60"/>
      <c r="F22" s="77"/>
      <c r="G22" s="97"/>
      <c r="H22" s="104"/>
      <c r="I22" s="63"/>
      <c r="J22" s="58"/>
      <c r="K22" s="58"/>
      <c r="L22" s="58"/>
      <c r="M22" s="58"/>
      <c r="N22" s="58"/>
      <c r="O22" s="58"/>
      <c r="P22" s="58"/>
      <c r="Q22" s="58"/>
    </row>
    <row r="23" spans="1:17" ht="15.75" x14ac:dyDescent="0.25">
      <c r="A23" s="106"/>
      <c r="B23" s="93"/>
      <c r="C23" s="69" t="str">
        <f>IF(ISBLANK(B23), "", IF(0&gt;=(B23-'Nurse Grid Dashboard'!$B$2), "EXPIRED", IF(AND((B23-'Nurse Grid Dashboard'!$B$2)&gt;0, (B23-'Nurse Grid Dashboard'!$B$2)&lt;=90), "EXPIRES SOON", "GOOD STANDING")))</f>
        <v/>
      </c>
      <c r="D23" s="55"/>
      <c r="E23" s="60"/>
      <c r="F23" s="77"/>
      <c r="G23" s="97"/>
      <c r="H23" s="104"/>
      <c r="I23" s="63"/>
      <c r="J23" s="58"/>
      <c r="K23" s="58"/>
      <c r="L23" s="58"/>
      <c r="M23" s="58"/>
      <c r="N23" s="58"/>
      <c r="O23" s="58"/>
      <c r="P23" s="58"/>
      <c r="Q23" s="58"/>
    </row>
    <row r="24" spans="1:17" ht="15.75" x14ac:dyDescent="0.25">
      <c r="A24" s="106"/>
      <c r="B24" s="93"/>
      <c r="C24" s="69" t="str">
        <f>IF(ISBLANK(B24), "", IF(0&gt;=(B24-'Nurse Grid Dashboard'!$B$2), "EXPIRED", IF(AND((B24-'Nurse Grid Dashboard'!$B$2)&gt;0, (B24-'Nurse Grid Dashboard'!$B$2)&lt;=90), "EXPIRES SOON", "GOOD STANDING")))</f>
        <v/>
      </c>
      <c r="D24" s="55"/>
      <c r="E24" s="60"/>
      <c r="F24" s="60"/>
      <c r="G24" s="97"/>
      <c r="H24" s="104"/>
    </row>
    <row r="25" spans="1:17" ht="15.75" x14ac:dyDescent="0.25">
      <c r="A25" s="106"/>
      <c r="B25" s="96"/>
      <c r="C25" s="69" t="str">
        <f>IF(ISBLANK(B25), "", IF(0&gt;=(B25-'Nurse Grid Dashboard'!$B$2), "EXPIRED", IF(AND((B25-'Nurse Grid Dashboard'!$B$2)&gt;0, (B25-'Nurse Grid Dashboard'!$B$2)&lt;=90), "EXPIRES SOON", "GOOD STANDING")))</f>
        <v/>
      </c>
      <c r="D25" s="55"/>
      <c r="E25" s="60"/>
      <c r="F25" s="60"/>
      <c r="G25" s="97"/>
      <c r="H25" s="104"/>
    </row>
    <row r="26" spans="1:17" ht="15.75" x14ac:dyDescent="0.25">
      <c r="A26" s="106"/>
      <c r="B26" s="93"/>
      <c r="C26" s="69" t="str">
        <f>IF(ISBLANK(B26), "", IF(0&gt;=(B26-'Nurse Grid Dashboard'!$B$2), "EXPIRED", IF(AND((B26-'Nurse Grid Dashboard'!$B$2)&gt;0, (B26-'Nurse Grid Dashboard'!$B$2)&lt;=90), "EXPIRES SOON", "GOOD STANDING")))</f>
        <v/>
      </c>
      <c r="D26" s="55"/>
      <c r="E26" s="60"/>
      <c r="F26" s="60"/>
      <c r="G26" s="97"/>
      <c r="H26" s="104"/>
    </row>
    <row r="27" spans="1:17" ht="15.75" x14ac:dyDescent="0.25">
      <c r="A27" s="106"/>
      <c r="B27" s="93"/>
      <c r="C27" s="69" t="str">
        <f>IF(ISBLANK(B27), "", IF(0&gt;=(B27-'Nurse Grid Dashboard'!$B$2), "EXPIRED", IF(AND((B27-'Nurse Grid Dashboard'!$B$2)&gt;0, (B27-'Nurse Grid Dashboard'!$B$2)&lt;=90), "EXPIRES SOON", "GOOD STANDING")))</f>
        <v/>
      </c>
      <c r="D27" s="55"/>
      <c r="E27" s="60"/>
      <c r="F27" s="60"/>
      <c r="G27" s="97"/>
      <c r="H27" s="104"/>
    </row>
    <row r="28" spans="1:17" ht="15.75" x14ac:dyDescent="0.25">
      <c r="A28" s="106"/>
      <c r="B28" s="93"/>
      <c r="C28" s="69" t="str">
        <f>IF(ISBLANK(B28), "", IF(0&gt;=(B28-'Nurse Grid Dashboard'!$B$2), "EXPIRED", IF(AND((B28-'Nurse Grid Dashboard'!$B$2)&gt;0, (B28-'Nurse Grid Dashboard'!$B$2)&lt;=90), "EXPIRES SOON", "GOOD STANDING")))</f>
        <v/>
      </c>
      <c r="D28" s="55"/>
      <c r="E28" s="60"/>
      <c r="F28" s="60"/>
      <c r="G28" s="97"/>
      <c r="H28" s="104"/>
    </row>
    <row r="29" spans="1:17" ht="15.75" x14ac:dyDescent="0.25">
      <c r="A29" s="106"/>
      <c r="B29" s="93"/>
      <c r="C29" s="69" t="str">
        <f>IF(ISBLANK(B29), "", IF(0&gt;=(B29-'Nurse Grid Dashboard'!$B$2), "EXPIRED", IF(AND((B29-'Nurse Grid Dashboard'!$B$2)&gt;0, (B29-'Nurse Grid Dashboard'!$B$2)&lt;=90), "EXPIRES SOON", "GOOD STANDING")))</f>
        <v/>
      </c>
      <c r="D29" s="55"/>
      <c r="E29" s="60"/>
      <c r="F29" s="60"/>
      <c r="G29" s="97"/>
      <c r="H29" s="104"/>
    </row>
    <row r="30" spans="1:17" ht="15.75" x14ac:dyDescent="0.25">
      <c r="A30" s="106"/>
      <c r="B30" s="93"/>
      <c r="C30" s="69" t="str">
        <f>IF(ISBLANK(B30), "", IF(0&gt;=(B30-'Nurse Grid Dashboard'!$B$2), "EXPIRED", IF(AND((B30-'Nurse Grid Dashboard'!$B$2)&gt;0, (B30-'Nurse Grid Dashboard'!$B$2)&lt;=90), "EXPIRES SOON", "GOOD STANDING")))</f>
        <v/>
      </c>
      <c r="D30" s="55"/>
      <c r="E30" s="60"/>
      <c r="F30" s="60"/>
      <c r="G30" s="97"/>
      <c r="H30" s="104"/>
    </row>
    <row r="31" spans="1:17" ht="15.75" x14ac:dyDescent="0.25">
      <c r="A31" s="106"/>
      <c r="B31" s="93"/>
      <c r="C31" s="69" t="str">
        <f>IF(ISBLANK(B31), "", IF(0&gt;=(B31-'Nurse Grid Dashboard'!$B$2), "EXPIRED", IF(AND((B31-'Nurse Grid Dashboard'!$B$2)&gt;0, (B31-'Nurse Grid Dashboard'!$B$2)&lt;=90), "EXPIRES SOON", "GOOD STANDING")))</f>
        <v/>
      </c>
      <c r="D31" s="55"/>
      <c r="E31" s="60"/>
      <c r="F31" s="60"/>
      <c r="G31" s="97"/>
      <c r="H31" s="104"/>
    </row>
    <row r="32" spans="1:17" ht="15.75" x14ac:dyDescent="0.25">
      <c r="A32" s="106"/>
      <c r="B32" s="93"/>
      <c r="C32" s="69" t="str">
        <f>IF(ISBLANK(B32), "", IF(0&gt;=(B32-'Nurse Grid Dashboard'!$B$2), "EXPIRED", IF(AND((B32-'Nurse Grid Dashboard'!$B$2)&gt;0, (B32-'Nurse Grid Dashboard'!$B$2)&lt;=90), "EXPIRES SOON", "GOOD STANDING")))</f>
        <v/>
      </c>
      <c r="D32" s="55"/>
      <c r="E32" s="60"/>
      <c r="F32" s="60"/>
      <c r="G32" s="97"/>
      <c r="H32" s="104"/>
    </row>
    <row r="33" spans="1:8" ht="15.75" x14ac:dyDescent="0.25">
      <c r="A33" s="106"/>
      <c r="B33" s="93"/>
      <c r="C33" s="69" t="str">
        <f>IF(ISBLANK(B33), "", IF(0&gt;=(B33-'Nurse Grid Dashboard'!$B$2), "EXPIRED", IF(AND((B33-'Nurse Grid Dashboard'!$B$2)&gt;0, (B33-'Nurse Grid Dashboard'!$B$2)&lt;=90), "EXPIRES SOON", "GOOD STANDING")))</f>
        <v/>
      </c>
      <c r="D33" s="55"/>
      <c r="E33" s="60"/>
      <c r="F33" s="60"/>
      <c r="G33" s="97"/>
      <c r="H33" s="104"/>
    </row>
    <row r="34" spans="1:8" ht="15.75" x14ac:dyDescent="0.25">
      <c r="A34" s="106"/>
      <c r="B34" s="96"/>
      <c r="C34" s="69" t="str">
        <f>IF(ISBLANK(B34), "", IF(0&gt;=(B34-'Nurse Grid Dashboard'!$B$2), "EXPIRED", IF(AND((B34-'Nurse Grid Dashboard'!$B$2)&gt;0, (B34-'Nurse Grid Dashboard'!$B$2)&lt;=90), "EXPIRES SOON", "GOOD STANDING")))</f>
        <v/>
      </c>
      <c r="D34" s="55"/>
      <c r="E34" s="60"/>
      <c r="F34" s="60"/>
      <c r="G34" s="60"/>
      <c r="H34" s="70"/>
    </row>
    <row r="35" spans="1:8" ht="15.75" x14ac:dyDescent="0.25">
      <c r="A35" s="106"/>
      <c r="B35" s="96"/>
      <c r="C35" s="69" t="str">
        <f>IF(ISBLANK(B35), "", IF(0&gt;=(B35-'Nurse Grid Dashboard'!$B$2), "EXPIRED", IF(AND((B35-'Nurse Grid Dashboard'!$B$2)&gt;0, (B35-'Nurse Grid Dashboard'!$B$2)&lt;=90), "EXPIRES SOON", "GOOD STANDING")))</f>
        <v/>
      </c>
      <c r="D35" s="55"/>
      <c r="E35" s="60"/>
      <c r="F35" s="60"/>
      <c r="G35" s="60"/>
      <c r="H35" s="70"/>
    </row>
    <row r="36" spans="1:8" ht="15.75" x14ac:dyDescent="0.25">
      <c r="A36" s="106"/>
      <c r="B36" s="96"/>
      <c r="C36" s="69" t="str">
        <f>IF(ISBLANK(B36), "", IF(0&gt;=(B36-'Nurse Grid Dashboard'!$B$2), "EXPIRED", IF(AND((B36-'Nurse Grid Dashboard'!$B$2)&gt;0, (B36-'Nurse Grid Dashboard'!$B$2)&lt;=90), "EXPIRES SOON", "GOOD STANDING")))</f>
        <v/>
      </c>
      <c r="D36" s="55"/>
      <c r="E36" s="60"/>
      <c r="F36" s="60"/>
      <c r="G36" s="60"/>
      <c r="H36" s="70"/>
    </row>
    <row r="37" spans="1:8" ht="15.75" x14ac:dyDescent="0.25">
      <c r="A37" s="106"/>
      <c r="B37" s="96"/>
      <c r="C37" s="69" t="str">
        <f>IF(ISBLANK(B37), "", IF(0&gt;=(B37-'Nurse Grid Dashboard'!$B$2), "EXPIRED", IF(AND((B37-'Nurse Grid Dashboard'!$B$2)&gt;0, (B37-'Nurse Grid Dashboard'!$B$2)&lt;=90), "EXPIRES SOON", "GOOD STANDING")))</f>
        <v/>
      </c>
      <c r="D37" s="55"/>
      <c r="E37" s="60"/>
      <c r="F37" s="60"/>
      <c r="G37" s="60"/>
      <c r="H37" s="70"/>
    </row>
    <row r="38" spans="1:8" ht="15.75" x14ac:dyDescent="0.25">
      <c r="A38" s="106"/>
      <c r="B38" s="54"/>
      <c r="C38" s="69" t="str">
        <f>IF(ISBLANK(B38), "", IF(0&gt;=(B38-'Nurse Grid Dashboard'!$B$2), "EXPIRED", IF(AND((B38-'Nurse Grid Dashboard'!$B$2)&gt;0, (B38-'Nurse Grid Dashboard'!$B$2)&lt;=90), "EXPIRES SOON", "GOOD STANDING")))</f>
        <v/>
      </c>
      <c r="D38" s="55"/>
      <c r="E38" s="60"/>
      <c r="F38" s="60"/>
      <c r="G38" s="60"/>
      <c r="H38" s="70"/>
    </row>
    <row r="39" spans="1:8" ht="15.75" x14ac:dyDescent="0.25">
      <c r="A39" s="71"/>
      <c r="B39" s="54"/>
      <c r="C39" s="69" t="str">
        <f>IF(ISBLANK(B39), "", IF(0&gt;=(B39-'Nurse Grid Dashboard'!$B$2), "EXPIRED", IF(AND((B39-'Nurse Grid Dashboard'!$B$2)&gt;0, (B39-'Nurse Grid Dashboard'!$B$2)&lt;=90), "EXPIRES SOON", "GOOD STANDING")))</f>
        <v/>
      </c>
      <c r="D39" s="55"/>
      <c r="E39" s="60"/>
      <c r="F39" s="60"/>
      <c r="G39" s="60"/>
      <c r="H39" s="70"/>
    </row>
    <row r="40" spans="1:8" ht="15.75" x14ac:dyDescent="0.25">
      <c r="A40" s="71"/>
      <c r="B40" s="54"/>
      <c r="C40" s="69" t="str">
        <f>IF(ISBLANK(B40), "", IF(0&gt;=(B40-'Nurse Grid Dashboard'!$B$2), "EXPIRED", IF(AND((B40-'Nurse Grid Dashboard'!$B$2)&gt;0, (B40-'Nurse Grid Dashboard'!$B$2)&lt;=90), "EXPIRES SOON", "GOOD STANDING")))</f>
        <v/>
      </c>
      <c r="D40" s="55"/>
      <c r="E40" s="60"/>
      <c r="F40" s="60"/>
      <c r="G40" s="60"/>
      <c r="H40" s="70"/>
    </row>
    <row r="41" spans="1:8" ht="15.75" x14ac:dyDescent="0.25">
      <c r="A41" s="71"/>
      <c r="B41" s="54"/>
      <c r="C41" s="69" t="str">
        <f>IF(ISBLANK(B41), "", IF(0&gt;=(B41-'Nurse Grid Dashboard'!$B$2), "EXPIRED", IF(AND((B41-'Nurse Grid Dashboard'!$B$2)&gt;0, (B41-'Nurse Grid Dashboard'!$B$2)&lt;=90), "EXPIRES SOON", "GOOD STANDING")))</f>
        <v/>
      </c>
      <c r="D41" s="55"/>
      <c r="E41" s="60"/>
      <c r="F41" s="60"/>
      <c r="G41" s="60"/>
      <c r="H41" s="70"/>
    </row>
    <row r="42" spans="1:8" ht="15.75" x14ac:dyDescent="0.25">
      <c r="A42" s="71"/>
      <c r="B42" s="54"/>
      <c r="C42" s="69" t="str">
        <f>IF(ISBLANK(B42), "", IF(0&gt;=(B42-'Nurse Grid Dashboard'!$B$2), "EXPIRED", IF(AND((B42-'Nurse Grid Dashboard'!$B$2)&gt;0, (B42-'Nurse Grid Dashboard'!$B$2)&lt;=90), "EXPIRES SOON", "GOOD STANDING")))</f>
        <v/>
      </c>
      <c r="D42" s="55"/>
      <c r="E42" s="60"/>
      <c r="F42" s="60"/>
      <c r="G42" s="60"/>
      <c r="H42" s="70"/>
    </row>
    <row r="43" spans="1:8" ht="15.75" x14ac:dyDescent="0.25">
      <c r="A43" s="71"/>
      <c r="B43" s="54"/>
      <c r="C43" s="69" t="str">
        <f>IF(ISBLANK(B43), "", IF(0&gt;=(B43-'Nurse Grid Dashboard'!$B$2), "EXPIRED", IF(AND((B43-'Nurse Grid Dashboard'!$B$2)&gt;0, (B43-'Nurse Grid Dashboard'!$B$2)&lt;=90), "EXPIRES SOON", "GOOD STANDING")))</f>
        <v/>
      </c>
      <c r="D43" s="55"/>
      <c r="E43" s="60"/>
      <c r="F43" s="60"/>
      <c r="G43" s="60"/>
      <c r="H43" s="70"/>
    </row>
    <row r="44" spans="1:8" ht="15.75" x14ac:dyDescent="0.25">
      <c r="A44" s="71"/>
      <c r="B44" s="54"/>
      <c r="C44" s="69" t="str">
        <f>IF(ISBLANK(B44), "", IF(0&gt;=(B44-'Nurse Grid Dashboard'!$B$2), "EXPIRED", IF(AND((B44-'Nurse Grid Dashboard'!$B$2)&gt;0, (B44-'Nurse Grid Dashboard'!$B$2)&lt;=90), "EXPIRES SOON", "GOOD STANDING")))</f>
        <v/>
      </c>
      <c r="D44" s="55"/>
      <c r="E44" s="60"/>
      <c r="F44" s="60"/>
      <c r="G44" s="60"/>
      <c r="H44" s="70"/>
    </row>
    <row r="45" spans="1:8" ht="15.75" x14ac:dyDescent="0.25">
      <c r="A45" s="71"/>
      <c r="B45" s="54"/>
      <c r="C45" s="69" t="str">
        <f>IF(ISBLANK(B45), "", IF(0&gt;=(B45-'Nurse Grid Dashboard'!$B$2), "EXPIRED", IF(AND((B45-'Nurse Grid Dashboard'!$B$2)&gt;0, (B45-'Nurse Grid Dashboard'!$B$2)&lt;=90), "EXPIRES SOON", "GOOD STANDING")))</f>
        <v/>
      </c>
      <c r="D45" s="55"/>
      <c r="E45" s="60"/>
      <c r="F45" s="60"/>
      <c r="G45" s="60"/>
      <c r="H45" s="70"/>
    </row>
    <row r="46" spans="1:8" ht="15.75" x14ac:dyDescent="0.25">
      <c r="A46" s="71"/>
      <c r="B46" s="54"/>
      <c r="C46" s="69" t="str">
        <f>IF(ISBLANK(B46), "", IF(0&gt;=(B46-'Nurse Grid Dashboard'!$B$2), "EXPIRED", IF(AND((B46-'Nurse Grid Dashboard'!$B$2)&gt;0, (B46-'Nurse Grid Dashboard'!$B$2)&lt;=90), "EXPIRES SOON", "GOOD STANDING")))</f>
        <v/>
      </c>
      <c r="D46" s="55"/>
      <c r="E46" s="60"/>
      <c r="F46" s="60"/>
      <c r="G46" s="60"/>
      <c r="H46" s="70"/>
    </row>
    <row r="47" spans="1:8" ht="15.75" x14ac:dyDescent="0.25">
      <c r="A47" s="71"/>
      <c r="B47" s="54"/>
      <c r="C47" s="69" t="str">
        <f>IF(ISBLANK(B47), "", IF(0&gt;=(B47-'Nurse Grid Dashboard'!$B$2), "EXPIRED", IF(AND((B47-'Nurse Grid Dashboard'!$B$2)&gt;0, (B47-'Nurse Grid Dashboard'!$B$2)&lt;=90), "EXPIRES SOON", "GOOD STANDING")))</f>
        <v/>
      </c>
      <c r="D47" s="55"/>
      <c r="E47" s="60"/>
      <c r="F47" s="60"/>
      <c r="G47" s="60"/>
      <c r="H47" s="70"/>
    </row>
    <row r="48" spans="1:8" ht="15.75" x14ac:dyDescent="0.25">
      <c r="A48" s="71"/>
      <c r="B48" s="54"/>
      <c r="C48" s="69" t="str">
        <f>IF(ISBLANK(B48), "", IF(0&gt;=(B48-'Nurse Grid Dashboard'!$B$2), "EXPIRED", IF(AND((B48-'Nurse Grid Dashboard'!$B$2)&gt;0, (B48-'Nurse Grid Dashboard'!$B$2)&lt;=90), "EXPIRES SOON", "GOOD STANDING")))</f>
        <v/>
      </c>
      <c r="D48" s="55"/>
      <c r="E48" s="60"/>
      <c r="F48" s="60"/>
      <c r="G48" s="60"/>
      <c r="H48" s="70"/>
    </row>
    <row r="49" spans="1:8" ht="15.75" x14ac:dyDescent="0.25">
      <c r="A49" s="71"/>
      <c r="B49" s="54"/>
      <c r="C49" s="69" t="str">
        <f>IF(ISBLANK(B49), "", IF(0&gt;=(B49-'Nurse Grid Dashboard'!$B$2), "EXPIRED", IF(AND((B49-'Nurse Grid Dashboard'!$B$2)&gt;0, (B49-'Nurse Grid Dashboard'!$B$2)&lt;=90), "EXPIRES SOON", "GOOD STANDING")))</f>
        <v/>
      </c>
      <c r="D49" s="55"/>
      <c r="E49" s="60"/>
      <c r="F49" s="60"/>
      <c r="G49" s="60"/>
      <c r="H49" s="70"/>
    </row>
    <row r="50" spans="1:8" ht="15.75" x14ac:dyDescent="0.25">
      <c r="A50" s="71"/>
      <c r="B50" s="54"/>
      <c r="C50" s="69" t="str">
        <f>IF(ISBLANK(B50), "", IF(0&gt;=(B50-'Nurse Grid Dashboard'!$B$2), "EXPIRED", IF(AND((B50-'Nurse Grid Dashboard'!$B$2)&gt;0, (B50-'Nurse Grid Dashboard'!$B$2)&lt;=90), "EXPIRES SOON", "GOOD STANDING")))</f>
        <v/>
      </c>
      <c r="D50" s="55"/>
      <c r="E50" s="60"/>
      <c r="F50" s="60"/>
      <c r="G50" s="60"/>
      <c r="H50" s="70"/>
    </row>
    <row r="51" spans="1:8" ht="15.75" x14ac:dyDescent="0.25">
      <c r="A51" s="71"/>
      <c r="B51" s="54"/>
      <c r="C51" s="69" t="str">
        <f>IF(ISBLANK(B51), "", IF(0&gt;=(B51-'Nurse Grid Dashboard'!$B$2), "EXPIRED", IF(AND((B51-'Nurse Grid Dashboard'!$B$2)&gt;0, (B51-'Nurse Grid Dashboard'!$B$2)&lt;=90), "EXPIRES SOON", "GOOD STANDING")))</f>
        <v/>
      </c>
      <c r="D51" s="55"/>
      <c r="E51" s="60"/>
      <c r="F51" s="60"/>
      <c r="G51" s="60"/>
      <c r="H51" s="70"/>
    </row>
    <row r="52" spans="1:8" ht="15.75" x14ac:dyDescent="0.25">
      <c r="A52" s="71"/>
      <c r="B52" s="54"/>
      <c r="C52" s="69" t="str">
        <f>IF(ISBLANK(B52), "", IF(0&gt;=(B52-'Nurse Grid Dashboard'!$B$2), "EXPIRED", IF(AND((B52-'Nurse Grid Dashboard'!$B$2)&gt;0, (B52-'Nurse Grid Dashboard'!$B$2)&lt;=90), "EXPIRES SOON", "GOOD STANDING")))</f>
        <v/>
      </c>
      <c r="D52" s="55"/>
      <c r="E52" s="60"/>
      <c r="F52" s="60"/>
      <c r="G52" s="60"/>
      <c r="H52" s="70"/>
    </row>
    <row r="53" spans="1:8" ht="15.75" x14ac:dyDescent="0.25">
      <c r="A53" s="71"/>
      <c r="B53" s="54"/>
      <c r="C53" s="69" t="str">
        <f>IF(ISBLANK(B53), "", IF(0&gt;=(B53-'Nurse Grid Dashboard'!$B$2), "EXPIRED", IF(AND((B53-'Nurse Grid Dashboard'!$B$2)&gt;0, (B53-'Nurse Grid Dashboard'!$B$2)&lt;=90), "EXPIRES SOON", "GOOD STANDING")))</f>
        <v/>
      </c>
      <c r="D53" s="55"/>
      <c r="E53" s="60"/>
      <c r="F53" s="60"/>
      <c r="G53" s="60"/>
      <c r="H53" s="70"/>
    </row>
    <row r="54" spans="1:8" ht="15.75" x14ac:dyDescent="0.25">
      <c r="A54" s="71"/>
      <c r="B54" s="54"/>
      <c r="C54" s="69" t="str">
        <f>IF(ISBLANK(B54), "", IF(0&gt;=(B54-'Nurse Grid Dashboard'!$B$2), "EXPIRED", IF(AND((B54-'Nurse Grid Dashboard'!$B$2)&gt;0, (B54-'Nurse Grid Dashboard'!$B$2)&lt;=90), "EXPIRES SOON", "GOOD STANDING")))</f>
        <v/>
      </c>
      <c r="D54" s="55"/>
      <c r="E54" s="60"/>
      <c r="F54" s="60"/>
      <c r="G54" s="60"/>
      <c r="H54" s="70"/>
    </row>
    <row r="55" spans="1:8" ht="15.75" x14ac:dyDescent="0.25">
      <c r="A55" s="71"/>
      <c r="B55" s="54"/>
      <c r="C55" s="69" t="str">
        <f>IF(ISBLANK(B55), "", IF(0&gt;=(B55-'Nurse Grid Dashboard'!$B$2), "EXPIRED", IF(AND((B55-'Nurse Grid Dashboard'!$B$2)&gt;0, (B55-'Nurse Grid Dashboard'!$B$2)&lt;=90), "EXPIRES SOON", "GOOD STANDING")))</f>
        <v/>
      </c>
      <c r="D55" s="55"/>
      <c r="E55" s="60"/>
      <c r="F55" s="60"/>
      <c r="G55" s="60"/>
      <c r="H55" s="70"/>
    </row>
    <row r="56" spans="1:8" ht="15.75" x14ac:dyDescent="0.25">
      <c r="A56" s="71"/>
      <c r="B56" s="54"/>
      <c r="C56" s="69" t="str">
        <f>IF(ISBLANK(B56), "", IF(0&gt;=(B56-'Nurse Grid Dashboard'!$B$2), "EXPIRED", IF(AND((B56-'Nurse Grid Dashboard'!$B$2)&gt;0, (B56-'Nurse Grid Dashboard'!$B$2)&lt;=90), "EXPIRES SOON", "GOOD STANDING")))</f>
        <v/>
      </c>
      <c r="D56" s="55"/>
      <c r="E56" s="60"/>
      <c r="F56" s="60"/>
      <c r="G56" s="60"/>
      <c r="H56" s="70"/>
    </row>
    <row r="57" spans="1:8" ht="16.5" thickBot="1" x14ac:dyDescent="0.3">
      <c r="A57" s="72"/>
      <c r="B57" s="73"/>
      <c r="C57" s="78" t="str">
        <f>IF(ISBLANK(B57), "", IF(0&gt;=(B57-'Nurse Grid Dashboard'!$B$2), "EXPIRED", IF(AND((B57-'Nurse Grid Dashboard'!$B$2)&gt;0, (B57-'Nurse Grid Dashboard'!$B$2)&lt;=90), "EXPIRES SOON", "GOOD STANDING")))</f>
        <v/>
      </c>
      <c r="D57" s="74"/>
      <c r="E57" s="75"/>
      <c r="F57" s="75"/>
      <c r="G57" s="75"/>
      <c r="H57" s="76"/>
    </row>
  </sheetData>
  <mergeCells count="14">
    <mergeCell ref="K13:L13"/>
    <mergeCell ref="H1:H2"/>
    <mergeCell ref="K7:L7"/>
    <mergeCell ref="K8:L8"/>
    <mergeCell ref="K9:L9"/>
    <mergeCell ref="K10:L10"/>
    <mergeCell ref="K11:L11"/>
    <mergeCell ref="K12:L12"/>
    <mergeCell ref="K6:L6"/>
    <mergeCell ref="B1:C1"/>
    <mergeCell ref="D1:F1"/>
    <mergeCell ref="G1:G2"/>
    <mergeCell ref="J1:L1"/>
    <mergeCell ref="J5:L5"/>
  </mergeCells>
  <conditionalFormatting sqref="C3:C57">
    <cfRule type="containsText" dxfId="23" priority="1" operator="containsText" text="EXPIRED">
      <formula>NOT(ISERROR(SEARCH("EXPIRED",C3)))</formula>
    </cfRule>
    <cfRule type="containsText" dxfId="22" priority="2" operator="containsText" text="GOOD STANDING">
      <formula>NOT(ISERROR(SEARCH("GOOD STANDING",C3)))</formula>
    </cfRule>
    <cfRule type="containsText" dxfId="21" priority="3" operator="containsText" text="EXPIRED">
      <formula>NOT(ISERROR(SEARCH("EXPIRED",C3)))</formula>
    </cfRule>
    <cfRule type="containsText" dxfId="20" priority="4" operator="containsText" text="EXPIRED">
      <formula>NOT(ISERROR(SEARCH("EXPIRED",C3)))</formula>
    </cfRule>
    <cfRule type="containsText" dxfId="19" priority="5" operator="containsText" text="EXPIRED">
      <formula>NOT(ISERROR(SEARCH("EXPIRED",C3)))</formula>
    </cfRule>
    <cfRule type="containsText" dxfId="18" priority="6" operator="containsText" text="EXPIRES SOON">
      <formula>NOT(ISERROR(SEARCH("EXPIRES SOON",C3)))</formula>
    </cfRule>
    <cfRule type="containsText" dxfId="17" priority="7" operator="containsText" text="GOOD STANDING">
      <formula>NOT(ISERROR(SEARCH("GOOD STANDING",C3)))</formula>
    </cfRule>
    <cfRule type="containsText" dxfId="16" priority="12" operator="containsText" text="EXPIRES SOON">
      <formula>NOT(ISERROR(SEARCH("EXPIRES SOON",C3)))</formula>
    </cfRule>
  </conditionalFormatting>
  <conditionalFormatting sqref="C14">
    <cfRule type="containsText" dxfId="15" priority="8" operator="containsText" text="GOOD STANDING">
      <formula>NOT(ISERROR(SEARCH("GOOD STANDING",C14)))</formula>
    </cfRule>
    <cfRule type="containsText" dxfId="14" priority="9" operator="containsText" text="GOOD$C$14">
      <formula>NOT(ISERROR(SEARCH("GOOD$C$14",C14)))</formula>
    </cfRule>
    <cfRule type="containsText" dxfId="13" priority="10" operator="containsText" text="GOOD$14:$14 STANDING">
      <formula>NOT(ISERROR(SEARCH("GOOD$14:$14 STANDING",C14)))</formula>
    </cfRule>
    <cfRule type="cellIs" dxfId="12" priority="11" operator="equal">
      <formula>"'GOOD STANDING"</formula>
    </cfRule>
  </conditionalFormatting>
  <hyperlinks>
    <hyperlink ref="K6" r:id="rId1" display="davidpeterkramer@outlook.com" xr:uid="{51EF784D-98B0-4C7C-8379-AFD8469AB118}"/>
    <hyperlink ref="K7" r:id="rId2" display="rileyanne1@ec.rr.com" xr:uid="{D344091C-21B2-4322-A485-567445E6E79F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B7EEC-5CD6-4486-9FEC-010B5A377EC2}">
  <sheetPr codeName="Sheet14"/>
  <dimension ref="A1:Q57"/>
  <sheetViews>
    <sheetView zoomScaleNormal="100" workbookViewId="0">
      <selection activeCell="K7" sqref="K7:L7"/>
    </sheetView>
  </sheetViews>
  <sheetFormatPr defaultRowHeight="15" x14ac:dyDescent="0.25"/>
  <cols>
    <col min="1" max="1" width="28.28515625" customWidth="1"/>
    <col min="2" max="2" width="17.28515625" customWidth="1"/>
    <col min="3" max="3" width="23.28515625" customWidth="1"/>
    <col min="4" max="5" width="8.7109375" style="53" customWidth="1"/>
    <col min="6" max="6" width="8.85546875" style="53" customWidth="1"/>
    <col min="7" max="7" width="33.5703125" style="53" customWidth="1"/>
    <col min="8" max="8" width="41" style="53" customWidth="1"/>
    <col min="9" max="9" width="9.42578125" style="53" customWidth="1"/>
    <col min="10" max="10" width="16.28515625" bestFit="1" customWidth="1"/>
    <col min="11" max="11" width="17.140625" customWidth="1"/>
    <col min="12" max="12" width="17.7109375" customWidth="1"/>
  </cols>
  <sheetData>
    <row r="1" spans="1:17" ht="23.65" customHeight="1" thickBot="1" x14ac:dyDescent="0.35">
      <c r="A1" s="101" t="s">
        <v>12</v>
      </c>
      <c r="B1" s="167" t="s">
        <v>8</v>
      </c>
      <c r="C1" s="168"/>
      <c r="D1" s="161" t="s">
        <v>22</v>
      </c>
      <c r="E1" s="162"/>
      <c r="F1" s="163"/>
      <c r="G1" s="154" t="s">
        <v>33</v>
      </c>
      <c r="H1" s="100"/>
      <c r="J1" s="156" t="s">
        <v>26</v>
      </c>
      <c r="K1" s="157"/>
      <c r="L1" s="158"/>
    </row>
    <row r="2" spans="1:17" ht="19.5" thickBot="1" x14ac:dyDescent="0.35">
      <c r="A2" s="94" t="s">
        <v>4</v>
      </c>
      <c r="B2" s="65" t="s">
        <v>0</v>
      </c>
      <c r="C2" s="61" t="s">
        <v>5</v>
      </c>
      <c r="D2" s="66" t="s">
        <v>23</v>
      </c>
      <c r="E2" s="67" t="s">
        <v>24</v>
      </c>
      <c r="F2" s="68" t="s">
        <v>25</v>
      </c>
      <c r="G2" s="155"/>
      <c r="H2" s="61" t="s">
        <v>48</v>
      </c>
      <c r="J2" s="84" t="s">
        <v>27</v>
      </c>
      <c r="K2" s="87" t="s">
        <v>28</v>
      </c>
      <c r="L2" s="85" t="s">
        <v>29</v>
      </c>
    </row>
    <row r="3" spans="1:17" ht="15.75" thickBot="1" x14ac:dyDescent="0.3">
      <c r="A3" s="102" t="s">
        <v>51</v>
      </c>
      <c r="B3" s="93">
        <v>45291</v>
      </c>
      <c r="C3" s="69" t="str">
        <f ca="1">IF(ISBLANK(B3), "", IF(0&gt;=(B3-'Nurse Grid Dashboard'!$B$2), "EXPIRED", IF(AND((B3-'Nurse Grid Dashboard'!$B$2)&gt;0, (B3-'Nurse Grid Dashboard'!$B$2)&lt;=90), "EXPIRES SOON", "GOOD STANDING")))</f>
        <v>EXPIRED</v>
      </c>
      <c r="D3" s="56"/>
      <c r="E3" s="59"/>
      <c r="F3" s="60"/>
      <c r="G3" s="99"/>
      <c r="H3" s="103"/>
      <c r="J3" s="82">
        <f ca="1">COUNTIF(C3:C57, "*good standing*")</f>
        <v>0</v>
      </c>
      <c r="K3" s="86">
        <f ca="1">COUNTIF(C3:C57, "*expires soon*")</f>
        <v>0</v>
      </c>
      <c r="L3" s="83">
        <f ca="1">COUNTIF(C3:C57, "*expired*")</f>
        <v>1</v>
      </c>
    </row>
    <row r="4" spans="1:17" ht="15.75" thickBot="1" x14ac:dyDescent="0.3">
      <c r="A4" s="102"/>
      <c r="B4" s="93"/>
      <c r="C4" s="69" t="str">
        <f>IF(ISBLANK(B4), "", IF(0&gt;=(B4-'Nurse Grid Dashboard'!$B$2), "EXPIRED", IF(AND((B4-'Nurse Grid Dashboard'!$B$2)&gt;0, (B4-'Nurse Grid Dashboard'!$B$2)&lt;=90), "EXPIRES SOON", "GOOD STANDING")))</f>
        <v/>
      </c>
      <c r="D4" s="55"/>
      <c r="E4" s="60"/>
      <c r="F4" s="60"/>
      <c r="G4" s="97"/>
      <c r="H4" s="104"/>
    </row>
    <row r="5" spans="1:17" ht="18.75" x14ac:dyDescent="0.3">
      <c r="A5" s="102"/>
      <c r="B5" s="93"/>
      <c r="C5" s="69" t="str">
        <f>IF(ISBLANK(B5), "", IF(0&gt;=(B5-'Nurse Grid Dashboard'!$B$2), "EXPIRED", IF(AND((B5-'Nurse Grid Dashboard'!$B$2)&gt;0, (B5-'Nurse Grid Dashboard'!$B$2)&lt;=90), "EXPIRES SOON", "GOOD STANDING")))</f>
        <v/>
      </c>
      <c r="D5" s="55"/>
      <c r="E5" s="60"/>
      <c r="F5" s="60"/>
      <c r="G5" s="97"/>
      <c r="H5" s="104"/>
      <c r="J5" s="164" t="s">
        <v>30</v>
      </c>
      <c r="K5" s="165"/>
      <c r="L5" s="166"/>
    </row>
    <row r="6" spans="1:17" x14ac:dyDescent="0.25">
      <c r="A6" s="102"/>
      <c r="B6" s="93"/>
      <c r="C6" s="69" t="str">
        <f>IF(ISBLANK(B6), "", IF(0&gt;=(B6-'Nurse Grid Dashboard'!$B$2), "EXPIRED", IF(AND((B6-'Nurse Grid Dashboard'!$B$2)&gt;0, (B6-'Nurse Grid Dashboard'!$B$2)&lt;=90), "EXPIRES SOON", "GOOD STANDING")))</f>
        <v/>
      </c>
      <c r="D6" s="55"/>
      <c r="E6" s="60"/>
      <c r="F6" s="60"/>
      <c r="G6" s="97"/>
      <c r="H6" s="104"/>
      <c r="J6" s="81" t="s">
        <v>31</v>
      </c>
      <c r="K6" s="152" t="s">
        <v>34</v>
      </c>
      <c r="L6" s="153"/>
    </row>
    <row r="7" spans="1:17" x14ac:dyDescent="0.25">
      <c r="A7" s="105"/>
      <c r="B7" s="92"/>
      <c r="C7" s="69" t="str">
        <f>IF(ISBLANK(B7), "", IF(0&gt;=(B7-'Nurse Grid Dashboard'!$B$2), "EXPIRED", IF(AND((B7-'Nurse Grid Dashboard'!$B$2)&gt;0, (B7-'Nurse Grid Dashboard'!$B$2)&lt;=90), "EXPIRES SOON", "GOOD STANDING")))</f>
        <v/>
      </c>
      <c r="D7" s="55"/>
      <c r="E7" s="60"/>
      <c r="F7" s="60"/>
      <c r="G7" s="97"/>
      <c r="H7" s="104"/>
      <c r="J7" s="81" t="s">
        <v>32</v>
      </c>
      <c r="K7" s="152" t="s">
        <v>34</v>
      </c>
      <c r="L7" s="153"/>
    </row>
    <row r="8" spans="1:17" x14ac:dyDescent="0.25">
      <c r="A8" s="102"/>
      <c r="B8" s="93"/>
      <c r="C8" s="69" t="str">
        <f>IF(ISBLANK(B8), "", IF(0&gt;=(B8-'Nurse Grid Dashboard'!$B$2), "EXPIRED", IF(AND((B8-'Nurse Grid Dashboard'!$B$2)&gt;0, (B8-'Nurse Grid Dashboard'!$B$2)&lt;=90), "EXPIRES SOON", "GOOD STANDING")))</f>
        <v/>
      </c>
      <c r="D8" s="55"/>
      <c r="E8" s="60"/>
      <c r="F8" s="60"/>
      <c r="G8" s="97"/>
      <c r="H8" s="104"/>
      <c r="J8" s="81" t="s">
        <v>35</v>
      </c>
      <c r="K8" s="148" t="s">
        <v>40</v>
      </c>
      <c r="L8" s="149"/>
    </row>
    <row r="9" spans="1:17" ht="15.75" x14ac:dyDescent="0.25">
      <c r="A9" s="106"/>
      <c r="B9" s="93"/>
      <c r="C9" s="69" t="str">
        <f>IF(ISBLANK(B9), "", IF(0&gt;=(B9-'Nurse Grid Dashboard'!$B$2), "EXPIRED", IF(AND((B9-'Nurse Grid Dashboard'!$B$2)&gt;0, (B9-'Nurse Grid Dashboard'!$B$2)&lt;=90), "EXPIRES SOON", "GOOD STANDING")))</f>
        <v/>
      </c>
      <c r="D9" s="55"/>
      <c r="E9" s="60"/>
      <c r="F9" s="60"/>
      <c r="G9" s="97"/>
      <c r="H9" s="104"/>
      <c r="J9" s="81" t="s">
        <v>36</v>
      </c>
      <c r="K9" s="148" t="s">
        <v>41</v>
      </c>
      <c r="L9" s="149"/>
    </row>
    <row r="10" spans="1:17" ht="15.75" x14ac:dyDescent="0.25">
      <c r="A10" s="106"/>
      <c r="B10" s="93"/>
      <c r="C10" s="69" t="str">
        <f>IF(ISBLANK(B10), "", IF(0&gt;=(B10-'Nurse Grid Dashboard'!$B$2), "EXPIRED", IF(AND((B10-'Nurse Grid Dashboard'!$B$2)&gt;0, (B10-'Nurse Grid Dashboard'!$B$2)&lt;=90), "EXPIRES SOON", "GOOD STANDING")))</f>
        <v/>
      </c>
      <c r="D10" s="55"/>
      <c r="E10" s="60"/>
      <c r="F10" s="60"/>
      <c r="G10" s="97"/>
      <c r="H10" s="104"/>
      <c r="J10" s="81" t="s">
        <v>39</v>
      </c>
      <c r="K10" s="148" t="s">
        <v>42</v>
      </c>
      <c r="L10" s="149"/>
    </row>
    <row r="11" spans="1:17" ht="15.6" customHeight="1" x14ac:dyDescent="0.25">
      <c r="A11" s="106"/>
      <c r="B11" s="93"/>
      <c r="C11" s="69" t="str">
        <f>IF(ISBLANK(B11), "", IF(0&gt;=(B11-'Nurse Grid Dashboard'!$B$2), "EXPIRED", IF(AND((B11-'Nurse Grid Dashboard'!$B$2)&gt;0, (B11-'Nurse Grid Dashboard'!$B$2)&lt;=90), "EXPIRES SOON", "GOOD STANDING")))</f>
        <v/>
      </c>
      <c r="D11" s="55"/>
      <c r="E11" s="60"/>
      <c r="F11" s="60"/>
      <c r="G11" s="97"/>
      <c r="H11" s="104"/>
      <c r="I11" s="62"/>
      <c r="J11" s="81" t="s">
        <v>37</v>
      </c>
      <c r="K11" s="148" t="s">
        <v>43</v>
      </c>
      <c r="L11" s="149"/>
      <c r="M11" s="57"/>
      <c r="N11" s="57"/>
      <c r="O11" s="57"/>
      <c r="P11" s="57"/>
      <c r="Q11" s="57"/>
    </row>
    <row r="12" spans="1:17" ht="15.75" x14ac:dyDescent="0.25">
      <c r="A12" s="106"/>
      <c r="B12" s="93"/>
      <c r="C12" s="69" t="str">
        <f>IF(ISBLANK(B12), "", IF(0&gt;=(B12-'Nurse Grid Dashboard'!$B$2), "EXPIRED", IF(AND((B12-'Nurse Grid Dashboard'!$B$2)&gt;0, (B12-'Nurse Grid Dashboard'!$B$2)&lt;=90), "EXPIRES SOON", "GOOD STANDING")))</f>
        <v/>
      </c>
      <c r="D12" s="55"/>
      <c r="E12" s="60"/>
      <c r="F12" s="60"/>
      <c r="G12" s="97"/>
      <c r="H12" s="104"/>
      <c r="I12" s="62"/>
      <c r="J12" s="88" t="s">
        <v>38</v>
      </c>
      <c r="K12" s="148" t="s">
        <v>44</v>
      </c>
      <c r="L12" s="149"/>
      <c r="M12" s="57"/>
      <c r="N12" s="57"/>
      <c r="O12" s="57"/>
      <c r="P12" s="57"/>
      <c r="Q12" s="57"/>
    </row>
    <row r="13" spans="1:17" ht="16.5" thickBot="1" x14ac:dyDescent="0.3">
      <c r="A13" s="106"/>
      <c r="B13" s="93"/>
      <c r="C13" s="69" t="str">
        <f>IF(ISBLANK(B13), "", IF(0&gt;=(B13-'Nurse Grid Dashboard'!$B$2), "EXPIRED", IF(AND((B13-'Nurse Grid Dashboard'!$B$2)&gt;0, (B13-'Nurse Grid Dashboard'!$B$2)&lt;=90), "EXPIRES SOON", "GOOD STANDING")))</f>
        <v/>
      </c>
      <c r="D13" s="55"/>
      <c r="E13" s="60"/>
      <c r="F13" s="60"/>
      <c r="G13" s="97"/>
      <c r="H13" s="104"/>
      <c r="I13" s="62"/>
      <c r="J13" s="89" t="s">
        <v>46</v>
      </c>
      <c r="K13" s="150" t="s">
        <v>45</v>
      </c>
      <c r="L13" s="151"/>
      <c r="M13" s="57"/>
      <c r="N13" s="57"/>
      <c r="O13" s="57"/>
      <c r="P13" s="57"/>
      <c r="Q13" s="57"/>
    </row>
    <row r="14" spans="1:17" ht="15.75" x14ac:dyDescent="0.25">
      <c r="A14" s="106"/>
      <c r="B14" s="93"/>
      <c r="C14" s="69" t="str">
        <f>IF(ISBLANK(B14), "", IF(0&gt;=(B14-'Nurse Grid Dashboard'!$B$2), "EXPIRED", IF(AND((B14-'Nurse Grid Dashboard'!$B$2)&gt;0, (B14-'Nurse Grid Dashboard'!$B$2)&lt;=90), "EXPIRES SOON", "GOOD STANDING")))</f>
        <v/>
      </c>
      <c r="D14" s="55"/>
      <c r="E14" s="60"/>
      <c r="F14" s="60"/>
      <c r="G14" s="97"/>
      <c r="H14" s="104"/>
      <c r="I14" s="62"/>
      <c r="J14" s="57"/>
      <c r="K14" s="57"/>
      <c r="L14" s="57"/>
      <c r="M14" s="57"/>
      <c r="N14" s="57"/>
      <c r="O14" s="57"/>
      <c r="P14" s="57"/>
      <c r="Q14" s="57"/>
    </row>
    <row r="15" spans="1:17" ht="15.75" x14ac:dyDescent="0.25">
      <c r="A15" s="106"/>
      <c r="B15" s="93"/>
      <c r="C15" s="69" t="str">
        <f>IF(ISBLANK(B15), "", IF(0&gt;=(B15-'Nurse Grid Dashboard'!$B$2), "EXPIRED", IF(AND((B15-'Nurse Grid Dashboard'!$B$2)&gt;0, (B15-'Nurse Grid Dashboard'!$B$2)&lt;=90), "EXPIRES SOON", "GOOD STANDING")))</f>
        <v/>
      </c>
      <c r="D15" s="55"/>
      <c r="E15" s="60"/>
      <c r="F15" s="60"/>
      <c r="G15" s="97"/>
      <c r="H15" s="104"/>
    </row>
    <row r="16" spans="1:17" ht="15.75" x14ac:dyDescent="0.25">
      <c r="A16" s="106"/>
      <c r="B16" s="93"/>
      <c r="C16" s="69" t="str">
        <f>IF(ISBLANK(B16), "", IF(0&gt;=(B16-'Nurse Grid Dashboard'!$B$2), "EXPIRED", IF(AND((B16-'Nurse Grid Dashboard'!$B$2)&gt;0, (B16-'Nurse Grid Dashboard'!$B$2)&lt;=90), "EXPIRES SOON", "GOOD STANDING")))</f>
        <v/>
      </c>
      <c r="D16" s="55"/>
      <c r="E16" s="60"/>
      <c r="F16" s="60"/>
      <c r="G16" s="97"/>
      <c r="H16" s="104"/>
    </row>
    <row r="17" spans="1:17" ht="15.75" x14ac:dyDescent="0.25">
      <c r="A17" s="106"/>
      <c r="B17" s="93"/>
      <c r="C17" s="69" t="str">
        <f>IF(ISBLANK(B17), "", IF(0&gt;=(B17-'Nurse Grid Dashboard'!$B$2), "EXPIRED", IF(AND((B17-'Nurse Grid Dashboard'!$B$2)&gt;0, (B17-'Nurse Grid Dashboard'!$B$2)&lt;=90), "EXPIRES SOON", "GOOD STANDING")))</f>
        <v/>
      </c>
      <c r="D17" s="55"/>
      <c r="E17" s="60"/>
      <c r="F17" s="60"/>
      <c r="G17" s="98"/>
      <c r="H17" s="107"/>
    </row>
    <row r="18" spans="1:17" ht="15.75" x14ac:dyDescent="0.25">
      <c r="A18" s="106"/>
      <c r="B18" s="93"/>
      <c r="C18" s="69" t="str">
        <f>IF(ISBLANK(B18), "", IF(0&gt;=(B18-'Nurse Grid Dashboard'!$B$2), "EXPIRED", IF(AND((B18-'Nurse Grid Dashboard'!$B$2)&gt;0, (B18-'Nurse Grid Dashboard'!$B$2)&lt;=90), "EXPIRES SOON", "GOOD STANDING")))</f>
        <v/>
      </c>
      <c r="D18" s="55"/>
      <c r="E18" s="60"/>
      <c r="F18" s="60"/>
      <c r="G18" s="97"/>
      <c r="H18" s="104"/>
    </row>
    <row r="19" spans="1:17" ht="15.75" x14ac:dyDescent="0.25">
      <c r="A19" s="106"/>
      <c r="B19" s="93"/>
      <c r="C19" s="69" t="str">
        <f>IF(ISBLANK(B19), "", IF(0&gt;=(B19-'Nurse Grid Dashboard'!$B$2), "EXPIRED", IF(AND((B19-'Nurse Grid Dashboard'!$B$2)&gt;0, (B19-'Nurse Grid Dashboard'!$B$2)&lt;=90), "EXPIRES SOON", "GOOD STANDING")))</f>
        <v/>
      </c>
      <c r="D19" s="55"/>
      <c r="E19" s="60"/>
      <c r="F19" s="60"/>
      <c r="G19" s="97"/>
      <c r="H19" s="104"/>
    </row>
    <row r="20" spans="1:17" ht="15.75" x14ac:dyDescent="0.25">
      <c r="A20" s="106"/>
      <c r="B20" s="93"/>
      <c r="C20" s="69" t="str">
        <f>IF(ISBLANK(B20), "", IF(0&gt;=(B20-'Nurse Grid Dashboard'!$B$2), "EXPIRED", IF(AND((B20-'Nurse Grid Dashboard'!$B$2)&gt;0, (B20-'Nurse Grid Dashboard'!$B$2)&lt;=90), "EXPIRES SOON", "GOOD STANDING")))</f>
        <v/>
      </c>
      <c r="D20" s="55"/>
      <c r="E20" s="60"/>
      <c r="F20" s="77"/>
      <c r="G20" s="97"/>
      <c r="H20" s="104"/>
      <c r="I20" s="63"/>
      <c r="J20" s="58"/>
      <c r="K20" s="58"/>
      <c r="L20" s="58"/>
      <c r="M20" s="58"/>
      <c r="N20" s="58"/>
      <c r="O20" s="58"/>
      <c r="P20" s="58"/>
      <c r="Q20" s="58"/>
    </row>
    <row r="21" spans="1:17" ht="15.75" x14ac:dyDescent="0.25">
      <c r="A21" s="106"/>
      <c r="B21" s="93"/>
      <c r="C21" s="69" t="str">
        <f>IF(ISBLANK(B21), "", IF(0&gt;=(B21-'Nurse Grid Dashboard'!$B$2), "EXPIRED", IF(AND((B21-'Nurse Grid Dashboard'!$B$2)&gt;0, (B21-'Nurse Grid Dashboard'!$B$2)&lt;=90), "EXPIRES SOON", "GOOD STANDING")))</f>
        <v/>
      </c>
      <c r="D21" s="55"/>
      <c r="E21" s="60"/>
      <c r="F21" s="77"/>
      <c r="G21" s="97"/>
      <c r="H21" s="104"/>
      <c r="I21" s="63"/>
      <c r="J21" s="58"/>
      <c r="K21" s="58"/>
      <c r="L21" s="58"/>
      <c r="M21" s="58"/>
      <c r="N21" s="58"/>
      <c r="O21" s="58"/>
      <c r="P21" s="58"/>
      <c r="Q21" s="58"/>
    </row>
    <row r="22" spans="1:17" ht="15.75" x14ac:dyDescent="0.25">
      <c r="A22" s="106"/>
      <c r="B22" s="93"/>
      <c r="C22" s="69" t="str">
        <f>IF(ISBLANK(B22), "", IF(0&gt;=(B22-'Nurse Grid Dashboard'!$B$2), "EXPIRED", IF(AND((B22-'Nurse Grid Dashboard'!$B$2)&gt;0, (B22-'Nurse Grid Dashboard'!$B$2)&lt;=90), "EXPIRES SOON", "GOOD STANDING")))</f>
        <v/>
      </c>
      <c r="D22" s="55"/>
      <c r="E22" s="60"/>
      <c r="F22" s="77"/>
      <c r="G22" s="97"/>
      <c r="H22" s="104"/>
      <c r="I22" s="63"/>
      <c r="J22" s="58"/>
      <c r="K22" s="58"/>
      <c r="L22" s="58"/>
      <c r="M22" s="58"/>
      <c r="N22" s="58"/>
      <c r="O22" s="58"/>
      <c r="P22" s="58"/>
      <c r="Q22" s="58"/>
    </row>
    <row r="23" spans="1:17" ht="15.75" x14ac:dyDescent="0.25">
      <c r="A23" s="106"/>
      <c r="B23" s="93"/>
      <c r="C23" s="69" t="str">
        <f>IF(ISBLANK(B23), "", IF(0&gt;=(B23-'Nurse Grid Dashboard'!$B$2), "EXPIRED", IF(AND((B23-'Nurse Grid Dashboard'!$B$2)&gt;0, (B23-'Nurse Grid Dashboard'!$B$2)&lt;=90), "EXPIRES SOON", "GOOD STANDING")))</f>
        <v/>
      </c>
      <c r="D23" s="55"/>
      <c r="E23" s="60"/>
      <c r="F23" s="77"/>
      <c r="G23" s="97"/>
      <c r="H23" s="104"/>
      <c r="I23" s="63"/>
      <c r="J23" s="58"/>
      <c r="K23" s="58"/>
      <c r="L23" s="58"/>
      <c r="M23" s="58"/>
      <c r="N23" s="58"/>
      <c r="O23" s="58"/>
      <c r="P23" s="58"/>
      <c r="Q23" s="58"/>
    </row>
    <row r="24" spans="1:17" ht="15.75" x14ac:dyDescent="0.25">
      <c r="A24" s="106"/>
      <c r="B24" s="93"/>
      <c r="C24" s="69" t="str">
        <f>IF(ISBLANK(B24), "", IF(0&gt;=(B24-'Nurse Grid Dashboard'!$B$2), "EXPIRED", IF(AND((B24-'Nurse Grid Dashboard'!$B$2)&gt;0, (B24-'Nurse Grid Dashboard'!$B$2)&lt;=90), "EXPIRES SOON", "GOOD STANDING")))</f>
        <v/>
      </c>
      <c r="D24" s="55"/>
      <c r="E24" s="60"/>
      <c r="F24" s="60"/>
      <c r="G24" s="97"/>
      <c r="H24" s="104"/>
    </row>
    <row r="25" spans="1:17" ht="15.75" x14ac:dyDescent="0.25">
      <c r="A25" s="106"/>
      <c r="B25" s="96"/>
      <c r="C25" s="69" t="str">
        <f>IF(ISBLANK(B25), "", IF(0&gt;=(B25-'Nurse Grid Dashboard'!$B$2), "EXPIRED", IF(AND((B25-'Nurse Grid Dashboard'!$B$2)&gt;0, (B25-'Nurse Grid Dashboard'!$B$2)&lt;=90), "EXPIRES SOON", "GOOD STANDING")))</f>
        <v/>
      </c>
      <c r="D25" s="55"/>
      <c r="E25" s="60"/>
      <c r="F25" s="60"/>
      <c r="G25" s="97"/>
      <c r="H25" s="104"/>
    </row>
    <row r="26" spans="1:17" ht="15.75" x14ac:dyDescent="0.25">
      <c r="A26" s="106"/>
      <c r="B26" s="93"/>
      <c r="C26" s="69" t="str">
        <f>IF(ISBLANK(B26), "", IF(0&gt;=(B26-'Nurse Grid Dashboard'!$B$2), "EXPIRED", IF(AND((B26-'Nurse Grid Dashboard'!$B$2)&gt;0, (B26-'Nurse Grid Dashboard'!$B$2)&lt;=90), "EXPIRES SOON", "GOOD STANDING")))</f>
        <v/>
      </c>
      <c r="D26" s="55"/>
      <c r="E26" s="60"/>
      <c r="F26" s="60"/>
      <c r="G26" s="97"/>
      <c r="H26" s="104"/>
    </row>
    <row r="27" spans="1:17" ht="15.75" x14ac:dyDescent="0.25">
      <c r="A27" s="106"/>
      <c r="B27" s="93"/>
      <c r="C27" s="69" t="str">
        <f>IF(ISBLANK(B27), "", IF(0&gt;=(B27-'Nurse Grid Dashboard'!$B$2), "EXPIRED", IF(AND((B27-'Nurse Grid Dashboard'!$B$2)&gt;0, (B27-'Nurse Grid Dashboard'!$B$2)&lt;=90), "EXPIRES SOON", "GOOD STANDING")))</f>
        <v/>
      </c>
      <c r="D27" s="55"/>
      <c r="E27" s="60"/>
      <c r="F27" s="60"/>
      <c r="G27" s="97"/>
      <c r="H27" s="104"/>
    </row>
    <row r="28" spans="1:17" ht="15.75" x14ac:dyDescent="0.25">
      <c r="A28" s="106"/>
      <c r="B28" s="93"/>
      <c r="C28" s="69" t="str">
        <f>IF(ISBLANK(B28), "", IF(0&gt;=(B28-'Nurse Grid Dashboard'!$B$2), "EXPIRED", IF(AND((B28-'Nurse Grid Dashboard'!$B$2)&gt;0, (B28-'Nurse Grid Dashboard'!$B$2)&lt;=90), "EXPIRES SOON", "GOOD STANDING")))</f>
        <v/>
      </c>
      <c r="D28" s="55"/>
      <c r="E28" s="60"/>
      <c r="F28" s="60"/>
      <c r="G28" s="97"/>
      <c r="H28" s="104"/>
    </row>
    <row r="29" spans="1:17" ht="15.75" x14ac:dyDescent="0.25">
      <c r="A29" s="106"/>
      <c r="B29" s="93"/>
      <c r="C29" s="69" t="str">
        <f>IF(ISBLANK(B29), "", IF(0&gt;=(B29-'Nurse Grid Dashboard'!$B$2), "EXPIRED", IF(AND((B29-'Nurse Grid Dashboard'!$B$2)&gt;0, (B29-'Nurse Grid Dashboard'!$B$2)&lt;=90), "EXPIRES SOON", "GOOD STANDING")))</f>
        <v/>
      </c>
      <c r="D29" s="55"/>
      <c r="E29" s="60"/>
      <c r="F29" s="60"/>
      <c r="G29" s="97"/>
      <c r="H29" s="104"/>
    </row>
    <row r="30" spans="1:17" ht="15.75" x14ac:dyDescent="0.25">
      <c r="A30" s="106"/>
      <c r="B30" s="93"/>
      <c r="C30" s="69" t="str">
        <f>IF(ISBLANK(B30), "", IF(0&gt;=(B30-'Nurse Grid Dashboard'!$B$2), "EXPIRED", IF(AND((B30-'Nurse Grid Dashboard'!$B$2)&gt;0, (B30-'Nurse Grid Dashboard'!$B$2)&lt;=90), "EXPIRES SOON", "GOOD STANDING")))</f>
        <v/>
      </c>
      <c r="D30" s="55"/>
      <c r="E30" s="60"/>
      <c r="F30" s="60"/>
      <c r="G30" s="97"/>
      <c r="H30" s="104"/>
    </row>
    <row r="31" spans="1:17" ht="15.75" x14ac:dyDescent="0.25">
      <c r="A31" s="106"/>
      <c r="B31" s="93"/>
      <c r="C31" s="69" t="str">
        <f>IF(ISBLANK(B31), "", IF(0&gt;=(B31-'Nurse Grid Dashboard'!$B$2), "EXPIRED", IF(AND((B31-'Nurse Grid Dashboard'!$B$2)&gt;0, (B31-'Nurse Grid Dashboard'!$B$2)&lt;=90), "EXPIRES SOON", "GOOD STANDING")))</f>
        <v/>
      </c>
      <c r="D31" s="55"/>
      <c r="E31" s="60"/>
      <c r="F31" s="60"/>
      <c r="G31" s="97"/>
      <c r="H31" s="104"/>
    </row>
    <row r="32" spans="1:17" ht="15.75" x14ac:dyDescent="0.25">
      <c r="A32" s="106"/>
      <c r="B32" s="93"/>
      <c r="C32" s="69" t="str">
        <f>IF(ISBLANK(B32), "", IF(0&gt;=(B32-'Nurse Grid Dashboard'!$B$2), "EXPIRED", IF(AND((B32-'Nurse Grid Dashboard'!$B$2)&gt;0, (B32-'Nurse Grid Dashboard'!$B$2)&lt;=90), "EXPIRES SOON", "GOOD STANDING")))</f>
        <v/>
      </c>
      <c r="D32" s="55"/>
      <c r="E32" s="60"/>
      <c r="F32" s="60"/>
      <c r="G32" s="97"/>
      <c r="H32" s="104"/>
    </row>
    <row r="33" spans="1:8" ht="15.75" x14ac:dyDescent="0.25">
      <c r="A33" s="106"/>
      <c r="B33" s="93"/>
      <c r="C33" s="69" t="str">
        <f>IF(ISBLANK(B33), "", IF(0&gt;=(B33-'Nurse Grid Dashboard'!$B$2), "EXPIRED", IF(AND((B33-'Nurse Grid Dashboard'!$B$2)&gt;0, (B33-'Nurse Grid Dashboard'!$B$2)&lt;=90), "EXPIRES SOON", "GOOD STANDING")))</f>
        <v/>
      </c>
      <c r="D33" s="55"/>
      <c r="E33" s="60"/>
      <c r="F33" s="60"/>
      <c r="G33" s="97"/>
      <c r="H33" s="104"/>
    </row>
    <row r="34" spans="1:8" ht="15.75" x14ac:dyDescent="0.25">
      <c r="A34" s="106"/>
      <c r="B34" s="96"/>
      <c r="C34" s="69" t="str">
        <f>IF(ISBLANK(B34), "", IF(0&gt;=(B34-'Nurse Grid Dashboard'!$B$2), "EXPIRED", IF(AND((B34-'Nurse Grid Dashboard'!$B$2)&gt;0, (B34-'Nurse Grid Dashboard'!$B$2)&lt;=90), "EXPIRES SOON", "GOOD STANDING")))</f>
        <v/>
      </c>
      <c r="D34" s="55"/>
      <c r="E34" s="60"/>
      <c r="F34" s="60"/>
      <c r="G34" s="60"/>
      <c r="H34" s="70"/>
    </row>
    <row r="35" spans="1:8" ht="15.75" x14ac:dyDescent="0.25">
      <c r="A35" s="106"/>
      <c r="B35" s="96"/>
      <c r="C35" s="69" t="str">
        <f>IF(ISBLANK(B35), "", IF(0&gt;=(B35-'Nurse Grid Dashboard'!$B$2), "EXPIRED", IF(AND((B35-'Nurse Grid Dashboard'!$B$2)&gt;0, (B35-'Nurse Grid Dashboard'!$B$2)&lt;=90), "EXPIRES SOON", "GOOD STANDING")))</f>
        <v/>
      </c>
      <c r="D35" s="55"/>
      <c r="E35" s="60"/>
      <c r="F35" s="60"/>
      <c r="G35" s="60"/>
      <c r="H35" s="70"/>
    </row>
    <row r="36" spans="1:8" ht="15.75" x14ac:dyDescent="0.25">
      <c r="A36" s="106"/>
      <c r="B36" s="96"/>
      <c r="C36" s="69" t="str">
        <f>IF(ISBLANK(B36), "", IF(0&gt;=(B36-'Nurse Grid Dashboard'!$B$2), "EXPIRED", IF(AND((B36-'Nurse Grid Dashboard'!$B$2)&gt;0, (B36-'Nurse Grid Dashboard'!$B$2)&lt;=90), "EXPIRES SOON", "GOOD STANDING")))</f>
        <v/>
      </c>
      <c r="D36" s="55"/>
      <c r="E36" s="60"/>
      <c r="F36" s="60"/>
      <c r="G36" s="60"/>
      <c r="H36" s="70"/>
    </row>
    <row r="37" spans="1:8" ht="15.75" x14ac:dyDescent="0.25">
      <c r="A37" s="106"/>
      <c r="B37" s="96"/>
      <c r="C37" s="69" t="str">
        <f>IF(ISBLANK(B37), "", IF(0&gt;=(B37-'Nurse Grid Dashboard'!$B$2), "EXPIRED", IF(AND((B37-'Nurse Grid Dashboard'!$B$2)&gt;0, (B37-'Nurse Grid Dashboard'!$B$2)&lt;=90), "EXPIRES SOON", "GOOD STANDING")))</f>
        <v/>
      </c>
      <c r="D37" s="55"/>
      <c r="E37" s="60"/>
      <c r="F37" s="60"/>
      <c r="G37" s="60"/>
      <c r="H37" s="70"/>
    </row>
    <row r="38" spans="1:8" ht="15.75" x14ac:dyDescent="0.25">
      <c r="A38" s="106"/>
      <c r="B38" s="54"/>
      <c r="C38" s="69" t="str">
        <f>IF(ISBLANK(B38), "", IF(0&gt;=(B38-'Nurse Grid Dashboard'!$B$2), "EXPIRED", IF(AND((B38-'Nurse Grid Dashboard'!$B$2)&gt;0, (B38-'Nurse Grid Dashboard'!$B$2)&lt;=90), "EXPIRES SOON", "GOOD STANDING")))</f>
        <v/>
      </c>
      <c r="D38" s="55"/>
      <c r="E38" s="60"/>
      <c r="F38" s="60"/>
      <c r="G38" s="60"/>
      <c r="H38" s="70"/>
    </row>
    <row r="39" spans="1:8" ht="15.75" x14ac:dyDescent="0.25">
      <c r="A39" s="71"/>
      <c r="B39" s="54"/>
      <c r="C39" s="69" t="str">
        <f>IF(ISBLANK(B39), "", IF(0&gt;=(B39-'Nurse Grid Dashboard'!$B$2), "EXPIRED", IF(AND((B39-'Nurse Grid Dashboard'!$B$2)&gt;0, (B39-'Nurse Grid Dashboard'!$B$2)&lt;=90), "EXPIRES SOON", "GOOD STANDING")))</f>
        <v/>
      </c>
      <c r="D39" s="55"/>
      <c r="E39" s="60"/>
      <c r="F39" s="60"/>
      <c r="G39" s="60"/>
      <c r="H39" s="70"/>
    </row>
    <row r="40" spans="1:8" ht="15.75" x14ac:dyDescent="0.25">
      <c r="A40" s="71"/>
      <c r="B40" s="54"/>
      <c r="C40" s="69" t="str">
        <f>IF(ISBLANK(B40), "", IF(0&gt;=(B40-'Nurse Grid Dashboard'!$B$2), "EXPIRED", IF(AND((B40-'Nurse Grid Dashboard'!$B$2)&gt;0, (B40-'Nurse Grid Dashboard'!$B$2)&lt;=90), "EXPIRES SOON", "GOOD STANDING")))</f>
        <v/>
      </c>
      <c r="D40" s="55"/>
      <c r="E40" s="60"/>
      <c r="F40" s="60"/>
      <c r="G40" s="60"/>
      <c r="H40" s="70"/>
    </row>
    <row r="41" spans="1:8" ht="15.75" x14ac:dyDescent="0.25">
      <c r="A41" s="71"/>
      <c r="B41" s="54"/>
      <c r="C41" s="69" t="str">
        <f>IF(ISBLANK(B41), "", IF(0&gt;=(B41-'Nurse Grid Dashboard'!$B$2), "EXPIRED", IF(AND((B41-'Nurse Grid Dashboard'!$B$2)&gt;0, (B41-'Nurse Grid Dashboard'!$B$2)&lt;=90), "EXPIRES SOON", "GOOD STANDING")))</f>
        <v/>
      </c>
      <c r="D41" s="55"/>
      <c r="E41" s="60"/>
      <c r="F41" s="60"/>
      <c r="G41" s="60"/>
      <c r="H41" s="70"/>
    </row>
    <row r="42" spans="1:8" ht="15.75" x14ac:dyDescent="0.25">
      <c r="A42" s="71"/>
      <c r="B42" s="54"/>
      <c r="C42" s="69" t="str">
        <f>IF(ISBLANK(B42), "", IF(0&gt;=(B42-'Nurse Grid Dashboard'!$B$2), "EXPIRED", IF(AND((B42-'Nurse Grid Dashboard'!$B$2)&gt;0, (B42-'Nurse Grid Dashboard'!$B$2)&lt;=90), "EXPIRES SOON", "GOOD STANDING")))</f>
        <v/>
      </c>
      <c r="D42" s="55"/>
      <c r="E42" s="60"/>
      <c r="F42" s="60"/>
      <c r="G42" s="60"/>
      <c r="H42" s="70"/>
    </row>
    <row r="43" spans="1:8" ht="15.75" x14ac:dyDescent="0.25">
      <c r="A43" s="71"/>
      <c r="B43" s="54"/>
      <c r="C43" s="69" t="str">
        <f>IF(ISBLANK(B43), "", IF(0&gt;=(B43-'Nurse Grid Dashboard'!$B$2), "EXPIRED", IF(AND((B43-'Nurse Grid Dashboard'!$B$2)&gt;0, (B43-'Nurse Grid Dashboard'!$B$2)&lt;=90), "EXPIRES SOON", "GOOD STANDING")))</f>
        <v/>
      </c>
      <c r="D43" s="55"/>
      <c r="E43" s="60"/>
      <c r="F43" s="60"/>
      <c r="G43" s="60"/>
      <c r="H43" s="70"/>
    </row>
    <row r="44" spans="1:8" ht="15.75" x14ac:dyDescent="0.25">
      <c r="A44" s="71"/>
      <c r="B44" s="54"/>
      <c r="C44" s="69" t="str">
        <f>IF(ISBLANK(B44), "", IF(0&gt;=(B44-'Nurse Grid Dashboard'!$B$2), "EXPIRED", IF(AND((B44-'Nurse Grid Dashboard'!$B$2)&gt;0, (B44-'Nurse Grid Dashboard'!$B$2)&lt;=90), "EXPIRES SOON", "GOOD STANDING")))</f>
        <v/>
      </c>
      <c r="D44" s="55"/>
      <c r="E44" s="60"/>
      <c r="F44" s="60"/>
      <c r="G44" s="60"/>
      <c r="H44" s="70"/>
    </row>
    <row r="45" spans="1:8" ht="15.75" x14ac:dyDescent="0.25">
      <c r="A45" s="71"/>
      <c r="B45" s="54"/>
      <c r="C45" s="69" t="str">
        <f>IF(ISBLANK(B45), "", IF(0&gt;=(B45-'Nurse Grid Dashboard'!$B$2), "EXPIRED", IF(AND((B45-'Nurse Grid Dashboard'!$B$2)&gt;0, (B45-'Nurse Grid Dashboard'!$B$2)&lt;=90), "EXPIRES SOON", "GOOD STANDING")))</f>
        <v/>
      </c>
      <c r="D45" s="55"/>
      <c r="E45" s="60"/>
      <c r="F45" s="60"/>
      <c r="G45" s="60"/>
      <c r="H45" s="70"/>
    </row>
    <row r="46" spans="1:8" ht="15.75" x14ac:dyDescent="0.25">
      <c r="A46" s="71"/>
      <c r="B46" s="54"/>
      <c r="C46" s="69" t="str">
        <f>IF(ISBLANK(B46), "", IF(0&gt;=(B46-'Nurse Grid Dashboard'!$B$2), "EXPIRED", IF(AND((B46-'Nurse Grid Dashboard'!$B$2)&gt;0, (B46-'Nurse Grid Dashboard'!$B$2)&lt;=90), "EXPIRES SOON", "GOOD STANDING")))</f>
        <v/>
      </c>
      <c r="D46" s="55"/>
      <c r="E46" s="60"/>
      <c r="F46" s="60"/>
      <c r="G46" s="60"/>
      <c r="H46" s="70"/>
    </row>
    <row r="47" spans="1:8" ht="15.75" x14ac:dyDescent="0.25">
      <c r="A47" s="71"/>
      <c r="B47" s="54"/>
      <c r="C47" s="69" t="str">
        <f>IF(ISBLANK(B47), "", IF(0&gt;=(B47-'Nurse Grid Dashboard'!$B$2), "EXPIRED", IF(AND((B47-'Nurse Grid Dashboard'!$B$2)&gt;0, (B47-'Nurse Grid Dashboard'!$B$2)&lt;=90), "EXPIRES SOON", "GOOD STANDING")))</f>
        <v/>
      </c>
      <c r="D47" s="55"/>
      <c r="E47" s="60"/>
      <c r="F47" s="60"/>
      <c r="G47" s="60"/>
      <c r="H47" s="70"/>
    </row>
    <row r="48" spans="1:8" ht="15.75" x14ac:dyDescent="0.25">
      <c r="A48" s="71"/>
      <c r="B48" s="54"/>
      <c r="C48" s="69" t="str">
        <f>IF(ISBLANK(B48), "", IF(0&gt;=(B48-'Nurse Grid Dashboard'!$B$2), "EXPIRED", IF(AND((B48-'Nurse Grid Dashboard'!$B$2)&gt;0, (B48-'Nurse Grid Dashboard'!$B$2)&lt;=90), "EXPIRES SOON", "GOOD STANDING")))</f>
        <v/>
      </c>
      <c r="D48" s="55"/>
      <c r="E48" s="60"/>
      <c r="F48" s="60"/>
      <c r="G48" s="60"/>
      <c r="H48" s="70"/>
    </row>
    <row r="49" spans="1:8" ht="15.75" x14ac:dyDescent="0.25">
      <c r="A49" s="71"/>
      <c r="B49" s="54"/>
      <c r="C49" s="69" t="str">
        <f>IF(ISBLANK(B49), "", IF(0&gt;=(B49-'Nurse Grid Dashboard'!$B$2), "EXPIRED", IF(AND((B49-'Nurse Grid Dashboard'!$B$2)&gt;0, (B49-'Nurse Grid Dashboard'!$B$2)&lt;=90), "EXPIRES SOON", "GOOD STANDING")))</f>
        <v/>
      </c>
      <c r="D49" s="55"/>
      <c r="E49" s="60"/>
      <c r="F49" s="60"/>
      <c r="G49" s="60"/>
      <c r="H49" s="70"/>
    </row>
    <row r="50" spans="1:8" ht="15.75" x14ac:dyDescent="0.25">
      <c r="A50" s="71"/>
      <c r="B50" s="54"/>
      <c r="C50" s="69" t="str">
        <f>IF(ISBLANK(B50), "", IF(0&gt;=(B50-'Nurse Grid Dashboard'!$B$2), "EXPIRED", IF(AND((B50-'Nurse Grid Dashboard'!$B$2)&gt;0, (B50-'Nurse Grid Dashboard'!$B$2)&lt;=90), "EXPIRES SOON", "GOOD STANDING")))</f>
        <v/>
      </c>
      <c r="D50" s="55"/>
      <c r="E50" s="60"/>
      <c r="F50" s="60"/>
      <c r="G50" s="60"/>
      <c r="H50" s="70"/>
    </row>
    <row r="51" spans="1:8" ht="15.75" x14ac:dyDescent="0.25">
      <c r="A51" s="71"/>
      <c r="B51" s="54"/>
      <c r="C51" s="69" t="str">
        <f>IF(ISBLANK(B51), "", IF(0&gt;=(B51-'Nurse Grid Dashboard'!$B$2), "EXPIRED", IF(AND((B51-'Nurse Grid Dashboard'!$B$2)&gt;0, (B51-'Nurse Grid Dashboard'!$B$2)&lt;=90), "EXPIRES SOON", "GOOD STANDING")))</f>
        <v/>
      </c>
      <c r="D51" s="55"/>
      <c r="E51" s="60"/>
      <c r="F51" s="60"/>
      <c r="G51" s="60"/>
      <c r="H51" s="70"/>
    </row>
    <row r="52" spans="1:8" ht="15.75" x14ac:dyDescent="0.25">
      <c r="A52" s="71"/>
      <c r="B52" s="54"/>
      <c r="C52" s="69" t="str">
        <f>IF(ISBLANK(B52), "", IF(0&gt;=(B52-'Nurse Grid Dashboard'!$B$2), "EXPIRED", IF(AND((B52-'Nurse Grid Dashboard'!$B$2)&gt;0, (B52-'Nurse Grid Dashboard'!$B$2)&lt;=90), "EXPIRES SOON", "GOOD STANDING")))</f>
        <v/>
      </c>
      <c r="D52" s="55"/>
      <c r="E52" s="60"/>
      <c r="F52" s="60"/>
      <c r="G52" s="60"/>
      <c r="H52" s="70"/>
    </row>
    <row r="53" spans="1:8" ht="15.75" x14ac:dyDescent="0.25">
      <c r="A53" s="71"/>
      <c r="B53" s="54"/>
      <c r="C53" s="69" t="str">
        <f>IF(ISBLANK(B53), "", IF(0&gt;=(B53-'Nurse Grid Dashboard'!$B$2), "EXPIRED", IF(AND((B53-'Nurse Grid Dashboard'!$B$2)&gt;0, (B53-'Nurse Grid Dashboard'!$B$2)&lt;=90), "EXPIRES SOON", "GOOD STANDING")))</f>
        <v/>
      </c>
      <c r="D53" s="55"/>
      <c r="E53" s="60"/>
      <c r="F53" s="60"/>
      <c r="G53" s="60"/>
      <c r="H53" s="70"/>
    </row>
    <row r="54" spans="1:8" ht="15.75" x14ac:dyDescent="0.25">
      <c r="A54" s="71"/>
      <c r="B54" s="54"/>
      <c r="C54" s="69" t="str">
        <f>IF(ISBLANK(B54), "", IF(0&gt;=(B54-'Nurse Grid Dashboard'!$B$2), "EXPIRED", IF(AND((B54-'Nurse Grid Dashboard'!$B$2)&gt;0, (B54-'Nurse Grid Dashboard'!$B$2)&lt;=90), "EXPIRES SOON", "GOOD STANDING")))</f>
        <v/>
      </c>
      <c r="D54" s="55"/>
      <c r="E54" s="60"/>
      <c r="F54" s="60"/>
      <c r="G54" s="60"/>
      <c r="H54" s="70"/>
    </row>
    <row r="55" spans="1:8" ht="15.75" x14ac:dyDescent="0.25">
      <c r="A55" s="71"/>
      <c r="B55" s="54"/>
      <c r="C55" s="69" t="str">
        <f>IF(ISBLANK(B55), "", IF(0&gt;=(B55-'Nurse Grid Dashboard'!$B$2), "EXPIRED", IF(AND((B55-'Nurse Grid Dashboard'!$B$2)&gt;0, (B55-'Nurse Grid Dashboard'!$B$2)&lt;=90), "EXPIRES SOON", "GOOD STANDING")))</f>
        <v/>
      </c>
      <c r="D55" s="55"/>
      <c r="E55" s="60"/>
      <c r="F55" s="60"/>
      <c r="G55" s="60"/>
      <c r="H55" s="70"/>
    </row>
    <row r="56" spans="1:8" ht="15.75" x14ac:dyDescent="0.25">
      <c r="A56" s="71"/>
      <c r="B56" s="54"/>
      <c r="C56" s="69" t="str">
        <f>IF(ISBLANK(B56), "", IF(0&gt;=(B56-'Nurse Grid Dashboard'!$B$2), "EXPIRED", IF(AND((B56-'Nurse Grid Dashboard'!$B$2)&gt;0, (B56-'Nurse Grid Dashboard'!$B$2)&lt;=90), "EXPIRES SOON", "GOOD STANDING")))</f>
        <v/>
      </c>
      <c r="D56" s="55"/>
      <c r="E56" s="60"/>
      <c r="F56" s="60"/>
      <c r="G56" s="60"/>
      <c r="H56" s="70"/>
    </row>
    <row r="57" spans="1:8" ht="16.5" thickBot="1" x14ac:dyDescent="0.3">
      <c r="A57" s="72"/>
      <c r="B57" s="73"/>
      <c r="C57" s="78" t="str">
        <f>IF(ISBLANK(B57), "", IF(0&gt;=(B57-'Nurse Grid Dashboard'!$B$2), "EXPIRED", IF(AND((B57-'Nurse Grid Dashboard'!$B$2)&gt;0, (B57-'Nurse Grid Dashboard'!$B$2)&lt;=90), "EXPIRES SOON", "GOOD STANDING")))</f>
        <v/>
      </c>
      <c r="D57" s="74"/>
      <c r="E57" s="75"/>
      <c r="F57" s="75"/>
      <c r="G57" s="75"/>
      <c r="H57" s="76"/>
    </row>
  </sheetData>
  <mergeCells count="13">
    <mergeCell ref="K13:L13"/>
    <mergeCell ref="K7:L7"/>
    <mergeCell ref="K8:L8"/>
    <mergeCell ref="K9:L9"/>
    <mergeCell ref="K10:L10"/>
    <mergeCell ref="K11:L11"/>
    <mergeCell ref="K12:L12"/>
    <mergeCell ref="K6:L6"/>
    <mergeCell ref="B1:C1"/>
    <mergeCell ref="D1:F1"/>
    <mergeCell ref="G1:G2"/>
    <mergeCell ref="J1:L1"/>
    <mergeCell ref="J5:L5"/>
  </mergeCells>
  <conditionalFormatting sqref="C3:C57">
    <cfRule type="containsText" dxfId="11" priority="1" operator="containsText" text="EXPIRED">
      <formula>NOT(ISERROR(SEARCH("EXPIRED",C3)))</formula>
    </cfRule>
    <cfRule type="containsText" dxfId="10" priority="2" operator="containsText" text="GOOD STANDING">
      <formula>NOT(ISERROR(SEARCH("GOOD STANDING",C3)))</formula>
    </cfRule>
    <cfRule type="containsText" dxfId="9" priority="3" operator="containsText" text="EXPIRED">
      <formula>NOT(ISERROR(SEARCH("EXPIRED",C3)))</formula>
    </cfRule>
    <cfRule type="containsText" dxfId="8" priority="4" operator="containsText" text="EXPIRED">
      <formula>NOT(ISERROR(SEARCH("EXPIRED",C3)))</formula>
    </cfRule>
    <cfRule type="containsText" dxfId="7" priority="5" operator="containsText" text="EXPIRED">
      <formula>NOT(ISERROR(SEARCH("EXPIRED",C3)))</formula>
    </cfRule>
    <cfRule type="containsText" dxfId="6" priority="6" operator="containsText" text="EXPIRES SOON">
      <formula>NOT(ISERROR(SEARCH("EXPIRES SOON",C3)))</formula>
    </cfRule>
    <cfRule type="containsText" dxfId="5" priority="7" operator="containsText" text="GOOD STANDING">
      <formula>NOT(ISERROR(SEARCH("GOOD STANDING",C3)))</formula>
    </cfRule>
    <cfRule type="containsText" dxfId="4" priority="12" operator="containsText" text="EXPIRES SOON">
      <formula>NOT(ISERROR(SEARCH("EXPIRES SOON",C3)))</formula>
    </cfRule>
  </conditionalFormatting>
  <conditionalFormatting sqref="C14">
    <cfRule type="containsText" dxfId="3" priority="8" operator="containsText" text="GOOD STANDING">
      <formula>NOT(ISERROR(SEARCH("GOOD STANDING",C14)))</formula>
    </cfRule>
    <cfRule type="containsText" dxfId="2" priority="9" operator="containsText" text="GOOD$C$14">
      <formula>NOT(ISERROR(SEARCH("GOOD$C$14",C14)))</formula>
    </cfRule>
    <cfRule type="containsText" dxfId="1" priority="10" operator="containsText" text="GOOD$14:$14 STANDING">
      <formula>NOT(ISERROR(SEARCH("GOOD$14:$14 STANDING",C14)))</formula>
    </cfRule>
    <cfRule type="cellIs" dxfId="0" priority="11" operator="equal">
      <formula>"'GOOD STANDING"</formula>
    </cfRule>
  </conditionalFormatting>
  <hyperlinks>
    <hyperlink ref="K6" r:id="rId1" display="davidpeterkramer@outlook.com" xr:uid="{21E20CB1-E35C-448D-8CB9-C0BF8321CAC1}"/>
    <hyperlink ref="K7" r:id="rId2" display="rileyanne1@ec.rr.com" xr:uid="{90921B86-21D7-4B97-9520-69523831FA1D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Nurse Grid Dashboard</vt:lpstr>
      <vt:lpstr>License</vt:lpstr>
      <vt:lpstr>PTC_License</vt:lpstr>
      <vt:lpstr>ALCS</vt:lpstr>
      <vt:lpstr>PALS</vt:lpstr>
      <vt:lpstr>BLS</vt:lpstr>
      <vt:lpstr>PCT_BLS</vt:lpstr>
      <vt:lpstr>CardiacSurvTech_BLS</vt:lpstr>
      <vt:lpstr>NIHSS</vt:lpstr>
      <vt:lpstr>Peritoneal_Dialysis</vt:lpstr>
      <vt:lpstr>IO</vt:lpstr>
      <vt:lpstr>NCI</vt:lpstr>
      <vt:lpstr>PCT_NCI</vt:lpstr>
      <vt:lpstr>UnitSecretary_NCI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P. Kramer</dc:creator>
  <cp:lastModifiedBy>Tyler Hudson</cp:lastModifiedBy>
  <dcterms:created xsi:type="dcterms:W3CDTF">2023-02-26T16:25:36Z</dcterms:created>
  <dcterms:modified xsi:type="dcterms:W3CDTF">2025-02-13T19:10:09Z</dcterms:modified>
</cp:coreProperties>
</file>